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PTOP\FPtoP - Backend - NodeJS\src\modules\field-module\infrastructure\templates\"/>
    </mc:Choice>
  </mc:AlternateContent>
  <xr:revisionPtr revIDLastSave="0" documentId="13_ncr:1_{217D09B3-E676-49BD-A447-0A30DDAD22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4" r:id="rId1"/>
  </sheets>
  <definedNames>
    <definedName name="__________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_BHA5" hidden="1">#REF!</definedName>
    <definedName name="_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123Graph_A" hidden="1">#REF!</definedName>
    <definedName name="__123Graph_D" hidden="1">#REF!</definedName>
    <definedName name="__123Graph_X" hidden="1">#REF!</definedName>
    <definedName name="_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bha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bha098776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BHA5" hidden="1">#REF!</definedName>
    <definedName name="_FEB13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_Fill" hidden="1">#REF!</definedName>
    <definedName name="_xlnm._FilterDatabase" localSheetId="0" hidden="1">Sheet1!$A$8:$AX$388</definedName>
    <definedName name="_Key1" hidden="1">#REF!</definedName>
    <definedName name="_Order1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a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AS2DocOpenMode" hidden="1">"AS2DocumentEdit"</definedName>
    <definedName name="asdasd" hidden="1">#REF!</definedName>
    <definedName name="CBWorkbookPriority" hidden="1">-1602700874</definedName>
    <definedName name="czc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DME_BeforeCloseCompleted" hidden="1">"False"</definedName>
    <definedName name="DME_Dirty" hidden="1">"False"</definedName>
    <definedName name="DME_LocalFile" hidden="1">"True"</definedName>
    <definedName name="DR" hidden="1">#REF!</definedName>
    <definedName name="dscd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dscdd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ext" hidden="1">#REF!</definedName>
    <definedName name="fanny47" hidden="1">#REF!</definedName>
    <definedName name="fgrf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HTML_CodePage" hidden="1">1252</definedName>
    <definedName name="HTML_Control" hidden="1">{"'Indillana A-4'!$L$5"}</definedName>
    <definedName name="HTML_Description" hidden="1">""</definedName>
    <definedName name="HTML_Email" hidden="1">""</definedName>
    <definedName name="HTML_Header" hidden="1">"Indillana A-4"</definedName>
    <definedName name="HTML_LastUpdate" hidden="1">"4/3/01"</definedName>
    <definedName name="HTML_LineAfter" hidden="1">FALSE</definedName>
    <definedName name="HTML_LineBefore" hidden="1">FALSE</definedName>
    <definedName name="HTML_Name" hidden="1">"Baker Hughes INTEQ"</definedName>
    <definedName name="HTML_OBDlg2" hidden="1">TRUE</definedName>
    <definedName name="HTML_OBDlg4" hidden="1">TRUE</definedName>
    <definedName name="HTML_OS" hidden="1">0</definedName>
    <definedName name="HTML_PathFile" hidden="1">"C:\My Documents\OXY\Indillana A-4\Drlg Prgrm\MyHTML.htm"</definedName>
    <definedName name="HTML_Title" hidden="1">"Prognosis Plot"</definedName>
    <definedName name="jbk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rhe5yjnew5hyw5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rrrr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RRRRR" hidden="1">#REF!</definedName>
    <definedName name="rtuhrjfyj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scen_result" hidden="1">#VALUE!</definedName>
    <definedName name="sdcdc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SEF3QF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solver_num" hidden="1">0</definedName>
    <definedName name="solver_typ" hidden="1">1</definedName>
    <definedName name="solver_val" hidden="1">0</definedName>
    <definedName name="tjtrjytrt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tyjht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uytr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wddw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wrn.AGETB." hidden="1">{#N/A,#N/A,FALSE,"COMBINE";#N/A,#N/A,FALSE,"OCCIDENTE";#N/A,#N/A,FALSE,"ORIENTE";#N/A,#N/A,FALSE,"CB-OCC";#N/A,#N/A,FALSE,"ODH-OCC";#N/A,#N/A,FALSE,"LSO-OCC";#N/A,#N/A,FALSE,"MSAO-OCC";#N/A,#N/A,FALSE,"CB-ORI";#N/A,#N/A,FALSE,"CAO-ORI";#N/A,#N/A,FALSE,"LSASO-ORI"}</definedName>
    <definedName name="wrn.Aging._.and._.Trend._.Analysis." hidden="1">{#N/A,#N/A,FALSE,"Aging Summary";#N/A,#N/A,FALSE,"Ratio Analysis";#N/A,#N/A,FALSE,"Test 120 Day Accts";#N/A,#N/A,FALSE,"Tickmarks"}</definedName>
    <definedName name="wrn.OCCIDENTE." hidden="1">{#N/A,#N/A,FALSE,"OCCIDENTE";#N/A,#N/A,FALSE,"CB-OCC";#N/A,#N/A,FALSE,"ODH-OCC";#N/A,#N/A,FALSE,"LSO-OCC";#N/A,#N/A,FALSE,"MSAO-OCC"}</definedName>
    <definedName name="wrn.ORIENTE." hidden="1">{#N/A,#N/A,FALSE,"ORIENTE";#N/A,#N/A,FALSE,"CB-ORI";#N/A,#N/A,FALSE,"CAO-ORI";#N/A,#N/A,FALSE,"LSASO-ORI"}</definedName>
    <definedName name="wvu.Q1._.1995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wvu.Q1._.1995.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wvu.Q1._.1996.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wvu.Q2._.1995.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wvu.VIEW._.ALL.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ww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XRefActiveRow" hidden="1">#REF!</definedName>
    <definedName name="XRefColumnsCount" hidden="1">19</definedName>
    <definedName name="XRefCopy10Row" hidden="1">#REF!</definedName>
    <definedName name="XRefCopy11Row" hidden="1">#REF!</definedName>
    <definedName name="XRefCopy12Row" hidden="1">#REF!</definedName>
    <definedName name="XRefCopy13Row" hidden="1">#REF!</definedName>
    <definedName name="XRefCopy15Row" hidden="1">#REF!</definedName>
    <definedName name="XRefCopy16Row" hidden="1">#REF!</definedName>
    <definedName name="XRefCopy17Row" hidden="1">#REF!</definedName>
    <definedName name="XRefCopy18Row" hidden="1">#REF!</definedName>
    <definedName name="XRefCopy19Row" hidden="1">#REF!</definedName>
    <definedName name="XRefCopy1Row" hidden="1">#REF!</definedName>
    <definedName name="XRefCopy20Row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4Row" hidden="1">#REF!</definedName>
    <definedName name="XRefCopy35Row" hidden="1">#REF!</definedName>
    <definedName name="XRefCopy37Row" hidden="1">#REF!</definedName>
    <definedName name="XRefCopy38Row" hidden="1">#REF!</definedName>
    <definedName name="XRefCopy39Row" hidden="1">#REF!</definedName>
    <definedName name="XRefCopy3Row" hidden="1">#REF!</definedName>
    <definedName name="XRefCopy40Row" hidden="1">#REF!</definedName>
    <definedName name="XRefCopy41Row" hidden="1">#REF!</definedName>
    <definedName name="XRefCopy42Row" hidden="1">#REF!</definedName>
    <definedName name="XRefCopy44Row" hidden="1">#REF!</definedName>
    <definedName name="XRefCopy45Row" hidden="1">#REF!</definedName>
    <definedName name="XRefCopy46Row" hidden="1">#REF!</definedName>
    <definedName name="XRefCopy47Row" hidden="1">#REF!</definedName>
    <definedName name="XRefCopy48Row" hidden="1">#REF!</definedName>
    <definedName name="XRefCopy49Row" hidden="1">#REF!</definedName>
    <definedName name="XRefCopy4Row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4Row" hidden="1">#REF!</definedName>
    <definedName name="XRefCopy55Row" hidden="1">#REF!</definedName>
    <definedName name="XRefCopy56Row" hidden="1">#REF!</definedName>
    <definedName name="XRefCopy58Row" hidden="1">#REF!</definedName>
    <definedName name="XRefCopy59Row" hidden="1">#REF!</definedName>
    <definedName name="XRefCopy5Row" hidden="1">#REF!</definedName>
    <definedName name="XRefCopy60Row" hidden="1">#REF!</definedName>
    <definedName name="XRefCopy61Row" hidden="1">#REF!</definedName>
    <definedName name="XRefCopy6Row" hidden="1">#REF!</definedName>
    <definedName name="XRefCopy7Row" hidden="1">#REF!</definedName>
    <definedName name="XRefCopy8Row" hidden="1">#REF!</definedName>
    <definedName name="XRefCopy9Row" hidden="1">#REF!</definedName>
    <definedName name="XRefCopyRangeCount" hidden="1">61</definedName>
    <definedName name="XRefPaste10Row" hidden="1">#REF!</definedName>
    <definedName name="XRefPaste11Row" hidden="1">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9Row" hidden="1">#REF!</definedName>
    <definedName name="XRefPaste1Row" hidden="1">#REF!</definedName>
    <definedName name="XRefPaste20Row" hidden="1">#REF!</definedName>
    <definedName name="XRefPaste21Row" hidden="1">#REF!</definedName>
    <definedName name="XRefPaste22Row" hidden="1">#REF!</definedName>
    <definedName name="XRefPaste23Row" hidden="1">#REF!</definedName>
    <definedName name="XRefPaste25Row" hidden="1">#REF!</definedName>
    <definedName name="XRefPaste26Row" hidden="1">#REF!</definedName>
    <definedName name="XRefPaste27Row" hidden="1">#REF!</definedName>
    <definedName name="XRefPaste28Row" hidden="1">#REF!</definedName>
    <definedName name="XRefPaste29Row" hidden="1">#REF!</definedName>
    <definedName name="XRefPaste2Row" hidden="1">#REF!</definedName>
    <definedName name="XRefPaste30Row" hidden="1">#REF!</definedName>
    <definedName name="XRefPaste31Row" hidden="1">#REF!</definedName>
    <definedName name="XRefPaste32Row" hidden="1">#REF!</definedName>
    <definedName name="XRefPaste33Row" hidden="1">#REF!</definedName>
    <definedName name="XRefPaste34Row" hidden="1">#REF!</definedName>
    <definedName name="XRefPaste35Row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0Row" hidden="1">#REF!</definedName>
    <definedName name="XRefPaste41Row" hidden="1">#REF!</definedName>
    <definedName name="XRefPaste42Row" hidden="1">#REF!</definedName>
    <definedName name="XRefPaste43Row" hidden="1">#REF!</definedName>
    <definedName name="XRefPaste44Row" hidden="1">#REF!</definedName>
    <definedName name="XRefPaste45Row" hidden="1">#REF!</definedName>
    <definedName name="XRefPaste46Row" hidden="1">#REF!</definedName>
    <definedName name="XRefPaste47Row" hidden="1">#REF!</definedName>
    <definedName name="XRefPaste48Row" hidden="1">#REF!</definedName>
    <definedName name="XRefPaste49Row" hidden="1">#REF!</definedName>
    <definedName name="XRefPaste4Row" hidden="1">#REF!</definedName>
    <definedName name="XRefPaste50Row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0Row" hidden="1">#REF!</definedName>
    <definedName name="XRefPaste61Row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6Row" hidden="1">#REF!</definedName>
    <definedName name="XRefPaste67Row" hidden="1">#REF!</definedName>
    <definedName name="XRefPaste68Row" hidden="1">#REF!</definedName>
    <definedName name="XRefPaste6Row" hidden="1">#REF!</definedName>
    <definedName name="XRefPaste70Row" hidden="1">#REF!</definedName>
    <definedName name="XRefPaste71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71</definedName>
    <definedName name="yjt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zzv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9" i="4" l="1"/>
  <c r="O11" i="4"/>
  <c r="K5" i="4" l="1"/>
  <c r="O10" i="4" l="1"/>
  <c r="B337" i="4"/>
  <c r="B338" i="4"/>
  <c r="B339" i="4"/>
  <c r="T66" i="4"/>
  <c r="T46" i="4"/>
  <c r="T25" i="4"/>
  <c r="O62" i="4"/>
  <c r="O42" i="4"/>
  <c r="T65" i="4"/>
  <c r="T42" i="4"/>
  <c r="T22" i="4"/>
  <c r="O61" i="4"/>
  <c r="O38" i="4"/>
  <c r="T62" i="4"/>
  <c r="T41" i="4"/>
  <c r="T18" i="4"/>
  <c r="O58" i="4"/>
  <c r="O34" i="4"/>
  <c r="T58" i="4"/>
  <c r="T38" i="4"/>
  <c r="T17" i="4"/>
  <c r="O54" i="4"/>
  <c r="O30" i="4"/>
  <c r="T57" i="4"/>
  <c r="T34" i="4"/>
  <c r="T14" i="4"/>
  <c r="O53" i="4"/>
  <c r="O29" i="4"/>
  <c r="T54" i="4"/>
  <c r="T33" i="4"/>
  <c r="T10" i="4"/>
  <c r="O50" i="4"/>
  <c r="O26" i="4"/>
  <c r="T50" i="4"/>
  <c r="T30" i="4"/>
  <c r="T9" i="4"/>
  <c r="O46" i="4"/>
  <c r="O22" i="4"/>
  <c r="T49" i="4"/>
  <c r="T26" i="4"/>
  <c r="O66" i="4"/>
  <c r="O45" i="4"/>
  <c r="O18" i="4"/>
  <c r="Y9" i="4"/>
  <c r="T61" i="4"/>
  <c r="T53" i="4"/>
  <c r="T45" i="4"/>
  <c r="T37" i="4"/>
  <c r="T29" i="4"/>
  <c r="T21" i="4"/>
  <c r="T13" i="4"/>
  <c r="O65" i="4"/>
  <c r="O57" i="4"/>
  <c r="O49" i="4"/>
  <c r="O41" i="4"/>
  <c r="O33" i="4"/>
  <c r="O25" i="4"/>
  <c r="O17" i="4"/>
  <c r="T68" i="4"/>
  <c r="T60" i="4"/>
  <c r="T52" i="4"/>
  <c r="T44" i="4"/>
  <c r="T36" i="4"/>
  <c r="T28" i="4"/>
  <c r="T20" i="4"/>
  <c r="T12" i="4"/>
  <c r="O64" i="4"/>
  <c r="O56" i="4"/>
  <c r="O48" i="4"/>
  <c r="O40" i="4"/>
  <c r="O32" i="4"/>
  <c r="O24" i="4"/>
  <c r="O16" i="4"/>
  <c r="T67" i="4"/>
  <c r="T59" i="4"/>
  <c r="T51" i="4"/>
  <c r="T43" i="4"/>
  <c r="T35" i="4"/>
  <c r="T27" i="4"/>
  <c r="T19" i="4"/>
  <c r="T11" i="4"/>
  <c r="O63" i="4"/>
  <c r="O55" i="4"/>
  <c r="O47" i="4"/>
  <c r="O39" i="4"/>
  <c r="O31" i="4"/>
  <c r="O23" i="4"/>
  <c r="O15" i="4"/>
  <c r="O14" i="4"/>
  <c r="O13" i="4"/>
  <c r="T64" i="4"/>
  <c r="T56" i="4"/>
  <c r="T48" i="4"/>
  <c r="T40" i="4"/>
  <c r="T32" i="4"/>
  <c r="T24" i="4"/>
  <c r="T16" i="4"/>
  <c r="O68" i="4"/>
  <c r="O60" i="4"/>
  <c r="O52" i="4"/>
  <c r="O44" i="4"/>
  <c r="O36" i="4"/>
  <c r="O28" i="4"/>
  <c r="O20" i="4"/>
  <c r="O12" i="4"/>
  <c r="O37" i="4"/>
  <c r="O21" i="4"/>
  <c r="T63" i="4"/>
  <c r="T55" i="4"/>
  <c r="T47" i="4"/>
  <c r="T39" i="4"/>
  <c r="T31" i="4"/>
  <c r="T23" i="4"/>
  <c r="T15" i="4"/>
  <c r="O67" i="4"/>
  <c r="O59" i="4"/>
  <c r="O51" i="4"/>
  <c r="O43" i="4"/>
  <c r="O35" i="4"/>
  <c r="O27" i="4"/>
  <c r="O19" i="4"/>
  <c r="O9" i="4" l="1"/>
  <c r="B9" i="4"/>
  <c r="AX58" i="4" l="1"/>
  <c r="L9" i="4" s="1"/>
  <c r="B376" i="4" l="1"/>
  <c r="B377" i="4"/>
  <c r="B378" i="4"/>
  <c r="B379" i="4"/>
  <c r="B380" i="4"/>
  <c r="B381" i="4"/>
  <c r="B382" i="4"/>
  <c r="B383" i="4"/>
  <c r="B384" i="4"/>
  <c r="B199" i="4"/>
  <c r="B200" i="4"/>
  <c r="B201" i="4"/>
  <c r="B18" i="4"/>
  <c r="B342" i="4" l="1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 l="1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AN49" i="4" l="1"/>
  <c r="B28" i="4" l="1"/>
  <c r="B10" i="4" l="1"/>
  <c r="B11" i="4"/>
  <c r="B12" i="4"/>
  <c r="B13" i="4"/>
  <c r="B14" i="4"/>
  <c r="B15" i="4"/>
  <c r="B16" i="4"/>
  <c r="B17" i="4"/>
  <c r="B19" i="4"/>
  <c r="B20" i="4"/>
  <c r="B21" i="4"/>
  <c r="B22" i="4"/>
  <c r="B23" i="4"/>
  <c r="B24" i="4"/>
  <c r="B25" i="4"/>
  <c r="B26" i="4"/>
  <c r="B27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40" i="4"/>
  <c r="B341" i="4"/>
  <c r="Y47" i="4" l="1"/>
  <c r="Y48" i="4"/>
  <c r="Y49" i="4"/>
  <c r="AD25" i="4" l="1"/>
  <c r="AN21" i="4" l="1"/>
  <c r="AR25" i="4" l="1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9" i="4"/>
  <c r="AS68" i="4"/>
  <c r="AS67" i="4"/>
  <c r="AS66" i="4"/>
  <c r="AS65" i="4"/>
  <c r="AS64" i="4"/>
  <c r="AS63" i="4"/>
  <c r="AS62" i="4"/>
  <c r="AS61" i="4"/>
  <c r="AS60" i="4"/>
  <c r="AS59" i="4"/>
  <c r="AS58" i="4"/>
  <c r="AS57" i="4"/>
  <c r="AS56" i="4"/>
  <c r="AS55" i="4"/>
  <c r="AS54" i="4"/>
  <c r="AS53" i="4"/>
  <c r="AS52" i="4"/>
  <c r="AS51" i="4"/>
  <c r="AS50" i="4"/>
  <c r="AS49" i="4"/>
  <c r="AS48" i="4"/>
  <c r="AS47" i="4"/>
  <c r="AS46" i="4"/>
  <c r="AS45" i="4"/>
  <c r="AS44" i="4"/>
  <c r="AS43" i="4"/>
  <c r="AS42" i="4"/>
  <c r="AS41" i="4"/>
  <c r="AS40" i="4"/>
  <c r="AS37" i="4"/>
  <c r="AS36" i="4"/>
  <c r="AS35" i="4"/>
  <c r="AS34" i="4"/>
  <c r="AS33" i="4"/>
  <c r="AS32" i="4"/>
  <c r="AS31" i="4"/>
  <c r="AS30" i="4"/>
  <c r="AS29" i="4"/>
  <c r="AS28" i="4"/>
  <c r="AS27" i="4"/>
  <c r="AS26" i="4"/>
  <c r="AS25" i="4"/>
  <c r="AT28" i="4" l="1"/>
  <c r="AT25" i="4"/>
  <c r="AT46" i="4"/>
  <c r="AT62" i="4"/>
  <c r="AT30" i="4"/>
  <c r="AT54" i="4"/>
  <c r="AT31" i="4"/>
  <c r="AT47" i="4"/>
  <c r="AT55" i="4"/>
  <c r="AT63" i="4"/>
  <c r="AT32" i="4"/>
  <c r="AT40" i="4"/>
  <c r="AT48" i="4"/>
  <c r="AT56" i="4"/>
  <c r="AT64" i="4"/>
  <c r="AT33" i="4"/>
  <c r="AT41" i="4"/>
  <c r="AT49" i="4"/>
  <c r="AT57" i="4"/>
  <c r="AT65" i="4"/>
  <c r="AT36" i="4"/>
  <c r="AT44" i="4"/>
  <c r="AT52" i="4"/>
  <c r="AT60" i="4"/>
  <c r="AT68" i="4"/>
  <c r="AT29" i="4"/>
  <c r="AT37" i="4"/>
  <c r="AT45" i="4"/>
  <c r="AT53" i="4"/>
  <c r="AT61" i="4"/>
  <c r="AT26" i="4"/>
  <c r="AT34" i="4"/>
  <c r="AT42" i="4"/>
  <c r="AT50" i="4"/>
  <c r="AT58" i="4"/>
  <c r="AT66" i="4"/>
  <c r="AT27" i="4"/>
  <c r="AT35" i="4"/>
  <c r="AT43" i="4"/>
  <c r="AT51" i="4"/>
  <c r="AT59" i="4"/>
  <c r="AT67" i="4"/>
  <c r="AN14" i="4" l="1"/>
  <c r="AN15" i="4"/>
  <c r="AN16" i="4"/>
  <c r="AN17" i="4"/>
  <c r="AN18" i="4"/>
  <c r="AN19" i="4"/>
  <c r="AN20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D16" i="4" l="1"/>
  <c r="AD17" i="4"/>
  <c r="AD18" i="4"/>
  <c r="AD19" i="4"/>
  <c r="AD20" i="4"/>
  <c r="AD21" i="4"/>
  <c r="AD22" i="4"/>
  <c r="AD23" i="4"/>
  <c r="AD24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K9" i="4"/>
  <c r="AN11" i="4"/>
  <c r="AN12" i="4"/>
  <c r="AN13" i="4"/>
  <c r="AN43" i="4"/>
  <c r="AN44" i="4"/>
  <c r="AN45" i="4"/>
  <c r="AN46" i="4"/>
  <c r="AN47" i="4"/>
  <c r="AN48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10" i="4"/>
  <c r="AN9" i="4"/>
  <c r="AD67" i="4"/>
  <c r="AD68" i="4"/>
  <c r="AW18" i="4"/>
  <c r="AX18" i="4"/>
  <c r="K10" i="4" l="1"/>
  <c r="L10" i="4" s="1"/>
  <c r="AW19" i="4"/>
  <c r="Y10" i="4" l="1"/>
  <c r="Y11" i="4"/>
  <c r="Y12" i="4"/>
  <c r="Y13" i="4"/>
  <c r="Y14" i="4"/>
  <c r="AW17" i="4" l="1"/>
  <c r="AI12" i="4"/>
  <c r="AI11" i="4"/>
  <c r="AI10" i="4"/>
  <c r="AI9" i="4"/>
  <c r="AD15" i="4"/>
  <c r="AD14" i="4"/>
  <c r="AD13" i="4"/>
  <c r="AD12" i="4"/>
  <c r="AD11" i="4"/>
  <c r="AD10" i="4"/>
  <c r="AD9" i="4"/>
  <c r="M11" i="4" l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R9" i="4" l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l="1"/>
  <c r="R21" i="4" s="1"/>
  <c r="R22" i="4" s="1"/>
  <c r="R23" i="4" s="1"/>
  <c r="R24" i="4" s="1"/>
  <c r="R25" i="4" s="1"/>
  <c r="R26" i="4" s="1"/>
  <c r="R27" i="4" s="1"/>
  <c r="R28" i="4" s="1"/>
  <c r="R29" i="4" s="1"/>
  <c r="P9" i="4"/>
  <c r="Q9" i="4" s="1"/>
  <c r="R30" i="4" l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P10" i="4"/>
  <c r="Q10" i="4" s="1"/>
  <c r="K11" i="4"/>
  <c r="L11" i="4" s="1"/>
  <c r="R44" i="4" l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P11" i="4"/>
  <c r="Q11" i="4" s="1"/>
  <c r="K12" i="4"/>
  <c r="L12" i="4" s="1"/>
  <c r="AB55" i="4" l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G9" i="4" s="1"/>
  <c r="AG10" i="4" s="1"/>
  <c r="AG11" i="4" s="1"/>
  <c r="AG12" i="4" s="1"/>
  <c r="AG13" i="4" s="1"/>
  <c r="AG14" i="4" s="1"/>
  <c r="AG15" i="4" s="1"/>
  <c r="AG16" i="4" s="1"/>
  <c r="AG17" i="4" s="1"/>
  <c r="AG18" i="4" s="1"/>
  <c r="AG19" i="4" s="1"/>
  <c r="AG20" i="4" s="1"/>
  <c r="AG21" i="4" s="1"/>
  <c r="AG22" i="4" s="1"/>
  <c r="AG23" i="4" s="1"/>
  <c r="AG24" i="4" s="1"/>
  <c r="AG25" i="4" s="1"/>
  <c r="AG26" i="4" s="1"/>
  <c r="AG27" i="4" s="1"/>
  <c r="AG28" i="4" s="1"/>
  <c r="AG29" i="4" s="1"/>
  <c r="AG30" i="4" s="1"/>
  <c r="AG31" i="4" s="1"/>
  <c r="AG32" i="4" s="1"/>
  <c r="AG33" i="4" s="1"/>
  <c r="AG34" i="4" s="1"/>
  <c r="AG35" i="4" s="1"/>
  <c r="AG36" i="4" s="1"/>
  <c r="AG37" i="4" s="1"/>
  <c r="AG38" i="4" s="1"/>
  <c r="AG39" i="4" s="1"/>
  <c r="AG40" i="4" s="1"/>
  <c r="AG41" i="4" s="1"/>
  <c r="AG42" i="4" s="1"/>
  <c r="AG43" i="4" s="1"/>
  <c r="AG44" i="4" s="1"/>
  <c r="AG45" i="4" s="1"/>
  <c r="AG46" i="4" s="1"/>
  <c r="AG47" i="4" s="1"/>
  <c r="AG48" i="4" s="1"/>
  <c r="AG49" i="4" s="1"/>
  <c r="AG50" i="4" s="1"/>
  <c r="AG51" i="4" s="1"/>
  <c r="AG52" i="4" s="1"/>
  <c r="AG53" i="4" s="1"/>
  <c r="AG54" i="4" s="1"/>
  <c r="AG55" i="4" s="1"/>
  <c r="AG56" i="4" s="1"/>
  <c r="AG57" i="4" s="1"/>
  <c r="AG58" i="4" s="1"/>
  <c r="AG59" i="4" s="1"/>
  <c r="AG60" i="4" s="1"/>
  <c r="AG61" i="4" s="1"/>
  <c r="AG62" i="4" s="1"/>
  <c r="AG63" i="4" s="1"/>
  <c r="AG64" i="4" s="1"/>
  <c r="AG65" i="4" s="1"/>
  <c r="AG66" i="4" s="1"/>
  <c r="AG67" i="4" s="1"/>
  <c r="AG68" i="4" s="1"/>
  <c r="AL9" i="4" s="1"/>
  <c r="AL10" i="4" s="1"/>
  <c r="AL11" i="4" s="1"/>
  <c r="AL12" i="4" s="1"/>
  <c r="AL13" i="4" s="1"/>
  <c r="AL14" i="4" s="1"/>
  <c r="AL15" i="4" s="1"/>
  <c r="AL16" i="4" s="1"/>
  <c r="AL17" i="4" s="1"/>
  <c r="P12" i="4"/>
  <c r="Q12" i="4" s="1"/>
  <c r="K13" i="4"/>
  <c r="L13" i="4" s="1"/>
  <c r="AL18" i="4" l="1"/>
  <c r="AL19" i="4" s="1"/>
  <c r="AL20" i="4" s="1"/>
  <c r="AL21" i="4" s="1"/>
  <c r="AL22" i="4" s="1"/>
  <c r="AL23" i="4" s="1"/>
  <c r="AL24" i="4" s="1"/>
  <c r="AL25" i="4" s="1"/>
  <c r="AL26" i="4" s="1"/>
  <c r="AL27" i="4" s="1"/>
  <c r="AL28" i="4" s="1"/>
  <c r="AL29" i="4" s="1"/>
  <c r="AL30" i="4" s="1"/>
  <c r="AL31" i="4" s="1"/>
  <c r="AL32" i="4" s="1"/>
  <c r="AL33" i="4" s="1"/>
  <c r="AL34" i="4" s="1"/>
  <c r="AL35" i="4" s="1"/>
  <c r="AL36" i="4" s="1"/>
  <c r="AL37" i="4" s="1"/>
  <c r="AL38" i="4" s="1"/>
  <c r="AL39" i="4" s="1"/>
  <c r="AL40" i="4" s="1"/>
  <c r="AL41" i="4" s="1"/>
  <c r="AL42" i="4" s="1"/>
  <c r="AL43" i="4" s="1"/>
  <c r="AL44" i="4" s="1"/>
  <c r="AL45" i="4" s="1"/>
  <c r="AL46" i="4" s="1"/>
  <c r="AL47" i="4" s="1"/>
  <c r="AL48" i="4" s="1"/>
  <c r="AL49" i="4" s="1"/>
  <c r="AL50" i="4" s="1"/>
  <c r="AL51" i="4" s="1"/>
  <c r="AL52" i="4" s="1"/>
  <c r="AL53" i="4" s="1"/>
  <c r="AL54" i="4" s="1"/>
  <c r="AL55" i="4" s="1"/>
  <c r="AL56" i="4" s="1"/>
  <c r="AL57" i="4" s="1"/>
  <c r="AL58" i="4" s="1"/>
  <c r="AL59" i="4" s="1"/>
  <c r="AL60" i="4" s="1"/>
  <c r="AL61" i="4" s="1"/>
  <c r="AL62" i="4" s="1"/>
  <c r="AL63" i="4" s="1"/>
  <c r="AL64" i="4" s="1"/>
  <c r="AL65" i="4" s="1"/>
  <c r="AL66" i="4" s="1"/>
  <c r="AL67" i="4" s="1"/>
  <c r="AL68" i="4" s="1"/>
  <c r="AQ9" i="4" s="1"/>
  <c r="AQ10" i="4" s="1"/>
  <c r="AQ11" i="4" s="1"/>
  <c r="AQ12" i="4" s="1"/>
  <c r="AQ13" i="4" s="1"/>
  <c r="AQ14" i="4" s="1"/>
  <c r="AQ15" i="4" s="1"/>
  <c r="AQ16" i="4" s="1"/>
  <c r="AQ17" i="4" s="1"/>
  <c r="AQ18" i="4" s="1"/>
  <c r="AQ19" i="4" s="1"/>
  <c r="AQ20" i="4" s="1"/>
  <c r="AQ21" i="4" s="1"/>
  <c r="AQ22" i="4" s="1"/>
  <c r="AQ23" i="4" s="1"/>
  <c r="AQ24" i="4" s="1"/>
  <c r="AQ25" i="4" s="1"/>
  <c r="AQ26" i="4" s="1"/>
  <c r="AQ27" i="4" s="1"/>
  <c r="AQ28" i="4" s="1"/>
  <c r="AQ29" i="4" s="1"/>
  <c r="AQ30" i="4" s="1"/>
  <c r="AQ31" i="4" s="1"/>
  <c r="AQ32" i="4" s="1"/>
  <c r="AQ33" i="4" s="1"/>
  <c r="AQ34" i="4" s="1"/>
  <c r="AQ35" i="4" s="1"/>
  <c r="AQ36" i="4" s="1"/>
  <c r="AQ37" i="4" s="1"/>
  <c r="AQ38" i="4" s="1"/>
  <c r="AQ39" i="4" s="1"/>
  <c r="AQ40" i="4" s="1"/>
  <c r="AQ41" i="4" s="1"/>
  <c r="AQ42" i="4" s="1"/>
  <c r="AQ43" i="4" s="1"/>
  <c r="AQ44" i="4" s="1"/>
  <c r="AQ45" i="4" s="1"/>
  <c r="AQ46" i="4" s="1"/>
  <c r="AQ47" i="4" s="1"/>
  <c r="AQ48" i="4" s="1"/>
  <c r="AQ49" i="4" s="1"/>
  <c r="AQ50" i="4" s="1"/>
  <c r="AQ51" i="4" s="1"/>
  <c r="AQ52" i="4" s="1"/>
  <c r="AQ53" i="4" s="1"/>
  <c r="AQ54" i="4" s="1"/>
  <c r="AQ55" i="4" s="1"/>
  <c r="AQ56" i="4" s="1"/>
  <c r="AQ57" i="4" s="1"/>
  <c r="AQ58" i="4" s="1"/>
  <c r="AQ59" i="4" s="1"/>
  <c r="AQ60" i="4" s="1"/>
  <c r="AQ61" i="4" s="1"/>
  <c r="AQ62" i="4" s="1"/>
  <c r="AQ63" i="4" s="1"/>
  <c r="AQ64" i="4" s="1"/>
  <c r="AQ65" i="4" s="1"/>
  <c r="AQ66" i="4" s="1"/>
  <c r="AQ67" i="4" s="1"/>
  <c r="AQ68" i="4" s="1"/>
  <c r="K14" i="4"/>
  <c r="L14" i="4" s="1"/>
  <c r="P13" i="4"/>
  <c r="Q13" i="4" s="1"/>
  <c r="K15" i="4" l="1"/>
  <c r="L15" i="4" s="1"/>
  <c r="P14" i="4"/>
  <c r="Q14" i="4" s="1"/>
  <c r="K16" i="4" l="1"/>
  <c r="L16" i="4" s="1"/>
  <c r="P15" i="4"/>
  <c r="Q15" i="4" s="1"/>
  <c r="K17" i="4" l="1"/>
  <c r="L17" i="4" s="1"/>
  <c r="P16" i="4"/>
  <c r="Q16" i="4" s="1"/>
  <c r="K18" i="4" l="1"/>
  <c r="L18" i="4" s="1"/>
  <c r="P17" i="4"/>
  <c r="Q17" i="4" s="1"/>
  <c r="K19" i="4" l="1"/>
  <c r="L19" i="4" s="1"/>
  <c r="P18" i="4"/>
  <c r="Q18" i="4" s="1"/>
  <c r="K20" i="4" l="1"/>
  <c r="L20" i="4" s="1"/>
  <c r="P19" i="4"/>
  <c r="Q19" i="4" s="1"/>
  <c r="K21" i="4" l="1"/>
  <c r="L21" i="4" s="1"/>
  <c r="P20" i="4"/>
  <c r="Q20" i="4" s="1"/>
  <c r="K22" i="4" l="1"/>
  <c r="L22" i="4" s="1"/>
  <c r="P21" i="4"/>
  <c r="Q21" i="4" s="1"/>
  <c r="K23" i="4" l="1"/>
  <c r="L23" i="4" s="1"/>
  <c r="P22" i="4"/>
  <c r="Q22" i="4" s="1"/>
  <c r="K24" i="4" l="1"/>
  <c r="L24" i="4" s="1"/>
  <c r="P23" i="4"/>
  <c r="Q23" i="4" s="1"/>
  <c r="K25" i="4" l="1"/>
  <c r="L25" i="4" s="1"/>
  <c r="P24" i="4"/>
  <c r="Q24" i="4" s="1"/>
  <c r="K26" i="4" l="1"/>
  <c r="L26" i="4" s="1"/>
  <c r="P25" i="4"/>
  <c r="Q25" i="4" s="1"/>
  <c r="K27" i="4" l="1"/>
  <c r="L27" i="4" s="1"/>
  <c r="P26" i="4"/>
  <c r="Q26" i="4" s="1"/>
  <c r="K28" i="4" l="1"/>
  <c r="L28" i="4" s="1"/>
  <c r="P27" i="4"/>
  <c r="Q27" i="4" s="1"/>
  <c r="K29" i="4" l="1"/>
  <c r="L29" i="4" s="1"/>
  <c r="P28" i="4"/>
  <c r="Q28" i="4" s="1"/>
  <c r="K30" i="4" l="1"/>
  <c r="L30" i="4" s="1"/>
  <c r="P29" i="4"/>
  <c r="Q29" i="4" s="1"/>
  <c r="K31" i="4" l="1"/>
  <c r="L31" i="4" s="1"/>
  <c r="P30" i="4"/>
  <c r="Q30" i="4" s="1"/>
  <c r="K32" i="4" l="1"/>
  <c r="L32" i="4" s="1"/>
  <c r="P31" i="4"/>
  <c r="Q31" i="4" s="1"/>
  <c r="K33" i="4" l="1"/>
  <c r="L33" i="4" s="1"/>
  <c r="P32" i="4"/>
  <c r="Q32" i="4" s="1"/>
  <c r="K34" i="4" l="1"/>
  <c r="L34" i="4" s="1"/>
  <c r="P33" i="4"/>
  <c r="Q33" i="4" s="1"/>
  <c r="K35" i="4" l="1"/>
  <c r="L35" i="4" s="1"/>
  <c r="P34" i="4"/>
  <c r="Q34" i="4" s="1"/>
  <c r="K36" i="4" l="1"/>
  <c r="L36" i="4" s="1"/>
  <c r="P35" i="4"/>
  <c r="Q35" i="4" s="1"/>
  <c r="K37" i="4" l="1"/>
  <c r="L37" i="4" s="1"/>
  <c r="P36" i="4"/>
  <c r="Q36" i="4" s="1"/>
  <c r="K38" i="4" l="1"/>
  <c r="L38" i="4" s="1"/>
  <c r="P37" i="4"/>
  <c r="Q37" i="4" s="1"/>
  <c r="K39" i="4" l="1"/>
  <c r="L39" i="4" s="1"/>
  <c r="P38" i="4"/>
  <c r="Q38" i="4" s="1"/>
  <c r="K40" i="4" l="1"/>
  <c r="L40" i="4" s="1"/>
  <c r="P39" i="4"/>
  <c r="Q39" i="4" s="1"/>
  <c r="K41" i="4" l="1"/>
  <c r="L41" i="4" s="1"/>
  <c r="P40" i="4"/>
  <c r="Q40" i="4" s="1"/>
  <c r="K42" i="4" l="1"/>
  <c r="L42" i="4" s="1"/>
  <c r="P41" i="4"/>
  <c r="Q41" i="4" s="1"/>
  <c r="K43" i="4" l="1"/>
  <c r="L43" i="4" s="1"/>
  <c r="P42" i="4"/>
  <c r="Q42" i="4" s="1"/>
  <c r="K44" i="4" l="1"/>
  <c r="L44" i="4" s="1"/>
  <c r="P43" i="4"/>
  <c r="Q43" i="4" s="1"/>
  <c r="K45" i="4" l="1"/>
  <c r="L45" i="4" s="1"/>
  <c r="P44" i="4"/>
  <c r="Q44" i="4" s="1"/>
  <c r="K46" i="4" l="1"/>
  <c r="L46" i="4" s="1"/>
  <c r="P45" i="4"/>
  <c r="Q45" i="4" s="1"/>
  <c r="K47" i="4" l="1"/>
  <c r="L47" i="4" s="1"/>
  <c r="P46" i="4"/>
  <c r="Q46" i="4" s="1"/>
  <c r="K48" i="4" l="1"/>
  <c r="L48" i="4" s="1"/>
  <c r="P47" i="4"/>
  <c r="Q47" i="4" s="1"/>
  <c r="K49" i="4" l="1"/>
  <c r="L49" i="4" s="1"/>
  <c r="P48" i="4"/>
  <c r="Q48" i="4" s="1"/>
  <c r="K50" i="4" l="1"/>
  <c r="L50" i="4" s="1"/>
  <c r="P49" i="4"/>
  <c r="Q49" i="4" s="1"/>
  <c r="K51" i="4" l="1"/>
  <c r="L51" i="4" s="1"/>
  <c r="P50" i="4"/>
  <c r="Q50" i="4" s="1"/>
  <c r="K52" i="4" l="1"/>
  <c r="L52" i="4" s="1"/>
  <c r="P51" i="4"/>
  <c r="Q51" i="4" s="1"/>
  <c r="K53" i="4" l="1"/>
  <c r="L53" i="4" s="1"/>
  <c r="P52" i="4"/>
  <c r="Q52" i="4" s="1"/>
  <c r="K54" i="4" l="1"/>
  <c r="L54" i="4" s="1"/>
  <c r="P53" i="4"/>
  <c r="Q53" i="4" s="1"/>
  <c r="K55" i="4" l="1"/>
  <c r="L55" i="4" s="1"/>
  <c r="P54" i="4"/>
  <c r="Q54" i="4" s="1"/>
  <c r="K56" i="4" l="1"/>
  <c r="L56" i="4" s="1"/>
  <c r="P55" i="4"/>
  <c r="Q55" i="4" s="1"/>
  <c r="K57" i="4" l="1"/>
  <c r="L57" i="4" s="1"/>
  <c r="P56" i="4"/>
  <c r="Q56" i="4" s="1"/>
  <c r="K58" i="4" l="1"/>
  <c r="L58" i="4" s="1"/>
  <c r="P57" i="4"/>
  <c r="Q57" i="4" s="1"/>
  <c r="K59" i="4" l="1"/>
  <c r="L59" i="4" s="1"/>
  <c r="P58" i="4"/>
  <c r="Q58" i="4" s="1"/>
  <c r="K60" i="4" l="1"/>
  <c r="L60" i="4" s="1"/>
  <c r="P59" i="4"/>
  <c r="Q59" i="4" s="1"/>
  <c r="K61" i="4" l="1"/>
  <c r="L61" i="4" s="1"/>
  <c r="P60" i="4"/>
  <c r="Q60" i="4" s="1"/>
  <c r="K62" i="4" l="1"/>
  <c r="L62" i="4" s="1"/>
  <c r="P61" i="4"/>
  <c r="Q61" i="4" s="1"/>
  <c r="K63" i="4" l="1"/>
  <c r="L63" i="4" s="1"/>
  <c r="P62" i="4"/>
  <c r="Q62" i="4" s="1"/>
  <c r="K64" i="4" l="1"/>
  <c r="L64" i="4" s="1"/>
  <c r="P63" i="4"/>
  <c r="Q63" i="4" s="1"/>
  <c r="K65" i="4" l="1"/>
  <c r="L65" i="4" s="1"/>
  <c r="P64" i="4"/>
  <c r="Q64" i="4" s="1"/>
  <c r="K66" i="4" l="1"/>
  <c r="L66" i="4" s="1"/>
  <c r="P65" i="4"/>
  <c r="Q65" i="4" s="1"/>
  <c r="K67" i="4" l="1"/>
  <c r="L67" i="4" s="1"/>
  <c r="P66" i="4"/>
  <c r="Q66" i="4" s="1"/>
  <c r="K68" i="4" l="1"/>
  <c r="L68" i="4" s="1"/>
  <c r="P67" i="4"/>
  <c r="Q67" i="4" s="1"/>
  <c r="K69" i="4" l="1"/>
  <c r="P68" i="4"/>
  <c r="Q68" i="4" s="1"/>
  <c r="U9" i="4" l="1"/>
  <c r="L69" i="4"/>
  <c r="K70" i="4"/>
  <c r="V9" i="4" l="1"/>
  <c r="U10" i="4"/>
  <c r="V10" i="4" s="1"/>
  <c r="L70" i="4"/>
  <c r="K71" i="4"/>
  <c r="U11" i="4" l="1"/>
  <c r="L71" i="4"/>
  <c r="K72" i="4"/>
  <c r="V11" i="4" l="1"/>
  <c r="U12" i="4"/>
  <c r="L72" i="4"/>
  <c r="K73" i="4"/>
  <c r="V12" i="4" l="1"/>
  <c r="U13" i="4"/>
  <c r="L73" i="4"/>
  <c r="K74" i="4"/>
  <c r="V13" i="4" l="1"/>
  <c r="U14" i="4"/>
  <c r="V14" i="4" s="1"/>
  <c r="L74" i="4"/>
  <c r="K75" i="4"/>
  <c r="U15" i="4" l="1"/>
  <c r="L75" i="4"/>
  <c r="K76" i="4"/>
  <c r="V15" i="4" l="1"/>
  <c r="U16" i="4"/>
  <c r="V16" i="4" s="1"/>
  <c r="L76" i="4"/>
  <c r="K77" i="4"/>
  <c r="U17" i="4" l="1"/>
  <c r="V17" i="4" s="1"/>
  <c r="L77" i="4"/>
  <c r="K78" i="4"/>
  <c r="U18" i="4" l="1"/>
  <c r="V18" i="4" s="1"/>
  <c r="L78" i="4"/>
  <c r="K79" i="4"/>
  <c r="U19" i="4" l="1"/>
  <c r="V19" i="4" s="1"/>
  <c r="L79" i="4"/>
  <c r="K80" i="4"/>
  <c r="U20" i="4" l="1"/>
  <c r="V20" i="4" s="1"/>
  <c r="L80" i="4"/>
  <c r="K81" i="4"/>
  <c r="U21" i="4" l="1"/>
  <c r="V21" i="4" s="1"/>
  <c r="L81" i="4"/>
  <c r="K82" i="4"/>
  <c r="U22" i="4" l="1"/>
  <c r="V22" i="4" s="1"/>
  <c r="L82" i="4"/>
  <c r="K83" i="4"/>
  <c r="U23" i="4" l="1"/>
  <c r="V23" i="4" s="1"/>
  <c r="L83" i="4"/>
  <c r="K84" i="4"/>
  <c r="U24" i="4" l="1"/>
  <c r="V24" i="4" s="1"/>
  <c r="L84" i="4"/>
  <c r="K85" i="4"/>
  <c r="U25" i="4" l="1"/>
  <c r="V25" i="4" s="1"/>
  <c r="L85" i="4"/>
  <c r="K86" i="4"/>
  <c r="U26" i="4" l="1"/>
  <c r="V26" i="4" s="1"/>
  <c r="L86" i="4"/>
  <c r="K87" i="4"/>
  <c r="U27" i="4" l="1"/>
  <c r="V27" i="4" s="1"/>
  <c r="L87" i="4"/>
  <c r="K88" i="4"/>
  <c r="U28" i="4" l="1"/>
  <c r="V28" i="4" s="1"/>
  <c r="L88" i="4"/>
  <c r="K89" i="4"/>
  <c r="U29" i="4" l="1"/>
  <c r="V29" i="4" s="1"/>
  <c r="L89" i="4"/>
  <c r="K90" i="4"/>
  <c r="U30" i="4" l="1"/>
  <c r="V30" i="4" s="1"/>
  <c r="L90" i="4"/>
  <c r="K91" i="4"/>
  <c r="U31" i="4" l="1"/>
  <c r="V31" i="4" s="1"/>
  <c r="L91" i="4"/>
  <c r="K92" i="4"/>
  <c r="U32" i="4" l="1"/>
  <c r="V32" i="4" s="1"/>
  <c r="L92" i="4"/>
  <c r="K93" i="4"/>
  <c r="U33" i="4" l="1"/>
  <c r="V33" i="4" s="1"/>
  <c r="L93" i="4"/>
  <c r="K94" i="4"/>
  <c r="U34" i="4" l="1"/>
  <c r="V34" i="4" s="1"/>
  <c r="L94" i="4"/>
  <c r="K95" i="4"/>
  <c r="U35" i="4" l="1"/>
  <c r="V35" i="4" s="1"/>
  <c r="L95" i="4"/>
  <c r="K96" i="4"/>
  <c r="U36" i="4" l="1"/>
  <c r="V36" i="4" s="1"/>
  <c r="L96" i="4"/>
  <c r="K97" i="4"/>
  <c r="U37" i="4" l="1"/>
  <c r="V37" i="4" s="1"/>
  <c r="L97" i="4"/>
  <c r="K98" i="4"/>
  <c r="U38" i="4" l="1"/>
  <c r="L98" i="4"/>
  <c r="K99" i="4"/>
  <c r="V38" i="4" l="1"/>
  <c r="U39" i="4"/>
  <c r="V39" i="4" s="1"/>
  <c r="L99" i="4"/>
  <c r="K100" i="4"/>
  <c r="U40" i="4" l="1"/>
  <c r="L100" i="4"/>
  <c r="K101" i="4"/>
  <c r="V40" i="4" l="1"/>
  <c r="U41" i="4"/>
  <c r="V41" i="4" s="1"/>
  <c r="L101" i="4"/>
  <c r="K102" i="4"/>
  <c r="U42" i="4" l="1"/>
  <c r="L102" i="4"/>
  <c r="K103" i="4"/>
  <c r="V42" i="4" l="1"/>
  <c r="U43" i="4"/>
  <c r="V43" i="4" s="1"/>
  <c r="L103" i="4"/>
  <c r="K104" i="4"/>
  <c r="U44" i="4" l="1"/>
  <c r="L104" i="4"/>
  <c r="K105" i="4"/>
  <c r="V44" i="4" l="1"/>
  <c r="U45" i="4"/>
  <c r="V45" i="4" s="1"/>
  <c r="L105" i="4"/>
  <c r="K106" i="4"/>
  <c r="U46" i="4" l="1"/>
  <c r="L106" i="4"/>
  <c r="K107" i="4"/>
  <c r="V46" i="4" l="1"/>
  <c r="U47" i="4"/>
  <c r="V47" i="4" s="1"/>
  <c r="L107" i="4"/>
  <c r="K108" i="4"/>
  <c r="U48" i="4" l="1"/>
  <c r="L108" i="4"/>
  <c r="K109" i="4"/>
  <c r="V48" i="4" l="1"/>
  <c r="U49" i="4"/>
  <c r="V49" i="4" s="1"/>
  <c r="L109" i="4"/>
  <c r="K110" i="4"/>
  <c r="U50" i="4" l="1"/>
  <c r="L110" i="4"/>
  <c r="K111" i="4"/>
  <c r="V50" i="4" l="1"/>
  <c r="U51" i="4"/>
  <c r="V51" i="4" s="1"/>
  <c r="L111" i="4"/>
  <c r="K112" i="4"/>
  <c r="U52" i="4" l="1"/>
  <c r="L112" i="4"/>
  <c r="K113" i="4"/>
  <c r="V52" i="4" l="1"/>
  <c r="U53" i="4"/>
  <c r="V53" i="4" s="1"/>
  <c r="L113" i="4"/>
  <c r="K114" i="4"/>
  <c r="U54" i="4" l="1"/>
  <c r="L114" i="4"/>
  <c r="K115" i="4"/>
  <c r="V54" i="4" l="1"/>
  <c r="U55" i="4"/>
  <c r="V55" i="4" s="1"/>
  <c r="L115" i="4"/>
  <c r="K116" i="4"/>
  <c r="U56" i="4" l="1"/>
  <c r="L116" i="4"/>
  <c r="K117" i="4"/>
  <c r="V56" i="4" l="1"/>
  <c r="U57" i="4"/>
  <c r="V57" i="4" s="1"/>
  <c r="L117" i="4"/>
  <c r="K118" i="4"/>
  <c r="U58" i="4" l="1"/>
  <c r="V58" i="4" s="1"/>
  <c r="L118" i="4"/>
  <c r="K119" i="4"/>
  <c r="U59" i="4" l="1"/>
  <c r="V59" i="4" s="1"/>
  <c r="L119" i="4"/>
  <c r="K120" i="4"/>
  <c r="U60" i="4" l="1"/>
  <c r="V60" i="4" s="1"/>
  <c r="L120" i="4"/>
  <c r="K121" i="4"/>
  <c r="U61" i="4" l="1"/>
  <c r="V61" i="4" s="1"/>
  <c r="L121" i="4"/>
  <c r="K122" i="4"/>
  <c r="U62" i="4" l="1"/>
  <c r="V62" i="4" s="1"/>
  <c r="L122" i="4"/>
  <c r="K123" i="4"/>
  <c r="U63" i="4" l="1"/>
  <c r="V63" i="4" s="1"/>
  <c r="L123" i="4"/>
  <c r="K124" i="4"/>
  <c r="U64" i="4" l="1"/>
  <c r="V64" i="4" s="1"/>
  <c r="L124" i="4"/>
  <c r="K125" i="4"/>
  <c r="U65" i="4" l="1"/>
  <c r="V65" i="4" s="1"/>
  <c r="L125" i="4"/>
  <c r="K126" i="4"/>
  <c r="U66" i="4" l="1"/>
  <c r="V66" i="4" s="1"/>
  <c r="L126" i="4"/>
  <c r="K127" i="4"/>
  <c r="U67" i="4" l="1"/>
  <c r="V67" i="4" s="1"/>
  <c r="L127" i="4"/>
  <c r="K128" i="4"/>
  <c r="U68" i="4" l="1"/>
  <c r="L128" i="4"/>
  <c r="K129" i="4"/>
  <c r="V68" i="4" l="1"/>
  <c r="Z9" i="4"/>
  <c r="AA9" i="4" s="1"/>
  <c r="L129" i="4"/>
  <c r="K130" i="4"/>
  <c r="Z10" i="4" l="1"/>
  <c r="L130" i="4"/>
  <c r="K131" i="4"/>
  <c r="AA10" i="4" l="1"/>
  <c r="Z11" i="4"/>
  <c r="L131" i="4"/>
  <c r="K132" i="4"/>
  <c r="AA11" i="4" l="1"/>
  <c r="Z12" i="4"/>
  <c r="L132" i="4"/>
  <c r="K133" i="4"/>
  <c r="AA12" i="4" l="1"/>
  <c r="Z13" i="4"/>
  <c r="AA13" i="4" s="1"/>
  <c r="L133" i="4"/>
  <c r="K134" i="4"/>
  <c r="Z14" i="4" l="1"/>
  <c r="L134" i="4"/>
  <c r="K135" i="4"/>
  <c r="AA14" i="4" l="1"/>
  <c r="Z15" i="4"/>
  <c r="AA15" i="4" s="1"/>
  <c r="L135" i="4"/>
  <c r="K136" i="4"/>
  <c r="Z16" i="4" l="1"/>
  <c r="AA16" i="4" s="1"/>
  <c r="L136" i="4"/>
  <c r="K137" i="4"/>
  <c r="Z17" i="4" l="1"/>
  <c r="AA17" i="4" s="1"/>
  <c r="L137" i="4"/>
  <c r="K138" i="4"/>
  <c r="Z18" i="4" l="1"/>
  <c r="AA18" i="4" s="1"/>
  <c r="L138" i="4"/>
  <c r="K139" i="4"/>
  <c r="Z19" i="4" l="1"/>
  <c r="AA19" i="4" s="1"/>
  <c r="L139" i="4"/>
  <c r="K140" i="4"/>
  <c r="Z20" i="4" l="1"/>
  <c r="AA20" i="4" s="1"/>
  <c r="L140" i="4"/>
  <c r="K141" i="4"/>
  <c r="Z21" i="4" l="1"/>
  <c r="AA21" i="4" s="1"/>
  <c r="L141" i="4"/>
  <c r="K142" i="4"/>
  <c r="Z22" i="4" l="1"/>
  <c r="AA22" i="4" s="1"/>
  <c r="L142" i="4"/>
  <c r="K143" i="4"/>
  <c r="Z23" i="4" l="1"/>
  <c r="AA23" i="4" s="1"/>
  <c r="L143" i="4"/>
  <c r="K144" i="4"/>
  <c r="Z24" i="4" l="1"/>
  <c r="AA24" i="4" s="1"/>
  <c r="L144" i="4"/>
  <c r="K145" i="4"/>
  <c r="Z25" i="4" l="1"/>
  <c r="AA25" i="4" s="1"/>
  <c r="L145" i="4"/>
  <c r="K146" i="4"/>
  <c r="Z26" i="4" l="1"/>
  <c r="AA26" i="4" s="1"/>
  <c r="L146" i="4"/>
  <c r="K147" i="4"/>
  <c r="Z27" i="4" l="1"/>
  <c r="AA27" i="4" s="1"/>
  <c r="L147" i="4"/>
  <c r="K148" i="4"/>
  <c r="Z28" i="4" l="1"/>
  <c r="AA28" i="4" s="1"/>
  <c r="L148" i="4"/>
  <c r="K149" i="4"/>
  <c r="Z29" i="4" l="1"/>
  <c r="AA29" i="4" s="1"/>
  <c r="L149" i="4"/>
  <c r="K150" i="4"/>
  <c r="Z30" i="4" l="1"/>
  <c r="AA30" i="4" s="1"/>
  <c r="L150" i="4"/>
  <c r="K151" i="4"/>
  <c r="Z31" i="4" l="1"/>
  <c r="AA31" i="4" s="1"/>
  <c r="L151" i="4"/>
  <c r="K152" i="4"/>
  <c r="Z32" i="4" l="1"/>
  <c r="AA32" i="4" s="1"/>
  <c r="L152" i="4"/>
  <c r="K153" i="4"/>
  <c r="Z33" i="4" l="1"/>
  <c r="AA33" i="4" s="1"/>
  <c r="L153" i="4"/>
  <c r="K154" i="4"/>
  <c r="Z34" i="4" l="1"/>
  <c r="AA34" i="4" s="1"/>
  <c r="L154" i="4"/>
  <c r="K155" i="4"/>
  <c r="Z35" i="4" l="1"/>
  <c r="AA35" i="4" s="1"/>
  <c r="L155" i="4"/>
  <c r="K156" i="4"/>
  <c r="Z36" i="4" l="1"/>
  <c r="AA36" i="4" s="1"/>
  <c r="L156" i="4"/>
  <c r="K157" i="4"/>
  <c r="Z37" i="4" l="1"/>
  <c r="AA37" i="4" s="1"/>
  <c r="L157" i="4"/>
  <c r="K158" i="4"/>
  <c r="K159" i="4" l="1"/>
  <c r="L159" i="4" s="1"/>
  <c r="L158" i="4"/>
  <c r="Z38" i="4"/>
  <c r="AA38" i="4" s="1"/>
  <c r="K160" i="4" l="1"/>
  <c r="L160" i="4" s="1"/>
  <c r="Z39" i="4"/>
  <c r="AA39" i="4" s="1"/>
  <c r="K161" i="4" l="1"/>
  <c r="L161" i="4" s="1"/>
  <c r="Z40" i="4"/>
  <c r="AA40" i="4" s="1"/>
  <c r="Z41" i="4" l="1"/>
  <c r="AA41" i="4" s="1"/>
  <c r="K162" i="4"/>
  <c r="L162" i="4" s="1"/>
  <c r="Z42" i="4" l="1"/>
  <c r="AA42" i="4" s="1"/>
  <c r="K163" i="4"/>
  <c r="L163" i="4" s="1"/>
  <c r="K164" i="4" l="1"/>
  <c r="L164" i="4" s="1"/>
  <c r="Z43" i="4"/>
  <c r="AA43" i="4" s="1"/>
  <c r="K165" i="4" l="1"/>
  <c r="L165" i="4" s="1"/>
  <c r="Z44" i="4"/>
  <c r="AA44" i="4" s="1"/>
  <c r="K166" i="4" l="1"/>
  <c r="L166" i="4" s="1"/>
  <c r="Z45" i="4"/>
  <c r="AA45" i="4" s="1"/>
  <c r="K167" i="4" l="1"/>
  <c r="L167" i="4" s="1"/>
  <c r="Z46" i="4"/>
  <c r="AA46" i="4" s="1"/>
  <c r="Z47" i="4" l="1"/>
  <c r="AA47" i="4" s="1"/>
  <c r="K168" i="4"/>
  <c r="L168" i="4" l="1"/>
  <c r="K169" i="4"/>
  <c r="L169" i="4" s="1"/>
  <c r="Z48" i="4"/>
  <c r="AA48" i="4" s="1"/>
  <c r="Z49" i="4" l="1"/>
  <c r="AA49" i="4" s="1"/>
  <c r="K170" i="4"/>
  <c r="L170" i="4" s="1"/>
  <c r="K171" i="4" l="1"/>
  <c r="L171" i="4" s="1"/>
  <c r="Z50" i="4"/>
  <c r="AA50" i="4" s="1"/>
  <c r="Z51" i="4" l="1"/>
  <c r="AA51" i="4" s="1"/>
  <c r="K172" i="4"/>
  <c r="L172" i="4" s="1"/>
  <c r="Z52" i="4" l="1"/>
  <c r="AA52" i="4" s="1"/>
  <c r="K173" i="4"/>
  <c r="L173" i="4" s="1"/>
  <c r="K174" i="4" l="1"/>
  <c r="L174" i="4" s="1"/>
  <c r="Z53" i="4"/>
  <c r="AA53" i="4" s="1"/>
  <c r="K175" i="4" l="1"/>
  <c r="L175" i="4" s="1"/>
  <c r="Z54" i="4"/>
  <c r="AA54" i="4" s="1"/>
  <c r="K176" i="4" l="1"/>
  <c r="L176" i="4" s="1"/>
  <c r="Z55" i="4"/>
  <c r="AA55" i="4" s="1"/>
  <c r="Z56" i="4" l="1"/>
  <c r="AA56" i="4" s="1"/>
  <c r="K177" i="4"/>
  <c r="L177" i="4" s="1"/>
  <c r="K178" i="4" l="1"/>
  <c r="Z57" i="4"/>
  <c r="AA57" i="4" s="1"/>
  <c r="L178" i="4" l="1"/>
  <c r="Z58" i="4"/>
  <c r="AA58" i="4" s="1"/>
  <c r="K179" i="4"/>
  <c r="L179" i="4" s="1"/>
  <c r="K180" i="4" l="1"/>
  <c r="L180" i="4" s="1"/>
  <c r="Z59" i="4"/>
  <c r="AA59" i="4" s="1"/>
  <c r="K181" i="4" l="1"/>
  <c r="L181" i="4" s="1"/>
  <c r="Z60" i="4"/>
  <c r="AA60" i="4" s="1"/>
  <c r="K182" i="4" l="1"/>
  <c r="L182" i="4" s="1"/>
  <c r="Z61" i="4"/>
  <c r="AA61" i="4" s="1"/>
  <c r="Z62" i="4" l="1"/>
  <c r="AA62" i="4" s="1"/>
  <c r="K183" i="4"/>
  <c r="L183" i="4" s="1"/>
  <c r="K184" i="4" l="1"/>
  <c r="L184" i="4" s="1"/>
  <c r="Z63" i="4"/>
  <c r="AA63" i="4" s="1"/>
  <c r="Z64" i="4" l="1"/>
  <c r="AA64" i="4" s="1"/>
  <c r="K185" i="4"/>
  <c r="L185" i="4" s="1"/>
  <c r="K186" i="4" l="1"/>
  <c r="L186" i="4" s="1"/>
  <c r="Z65" i="4"/>
  <c r="AA65" i="4" s="1"/>
  <c r="K187" i="4" l="1"/>
  <c r="L187" i="4" s="1"/>
  <c r="Z66" i="4"/>
  <c r="AA66" i="4" s="1"/>
  <c r="K188" i="4" l="1"/>
  <c r="Z67" i="4"/>
  <c r="AA67" i="4" s="1"/>
  <c r="L188" i="4" l="1"/>
  <c r="Z68" i="4"/>
  <c r="K189" i="4"/>
  <c r="L189" i="4" s="1"/>
  <c r="AA68" i="4" l="1"/>
  <c r="AE9" i="4"/>
  <c r="AF9" i="4" s="1"/>
  <c r="K190" i="4"/>
  <c r="L190" i="4" s="1"/>
  <c r="K191" i="4" l="1"/>
  <c r="L191" i="4" s="1"/>
  <c r="AE10" i="4"/>
  <c r="AF10" i="4" l="1"/>
  <c r="AE11" i="4"/>
  <c r="K192" i="4"/>
  <c r="L192" i="4" s="1"/>
  <c r="AF11" i="4" l="1"/>
  <c r="AE12" i="4"/>
  <c r="K193" i="4"/>
  <c r="L193" i="4" s="1"/>
  <c r="AF12" i="4" l="1"/>
  <c r="AE13" i="4"/>
  <c r="K194" i="4"/>
  <c r="L194" i="4" s="1"/>
  <c r="AF13" i="4" l="1"/>
  <c r="K195" i="4"/>
  <c r="L195" i="4" s="1"/>
  <c r="AE14" i="4"/>
  <c r="AF14" i="4" s="1"/>
  <c r="AE15" i="4" l="1"/>
  <c r="AF15" i="4" s="1"/>
  <c r="K196" i="4"/>
  <c r="L196" i="4" s="1"/>
  <c r="AE16" i="4" l="1"/>
  <c r="AF16" i="4" s="1"/>
  <c r="K197" i="4"/>
  <c r="L197" i="4" s="1"/>
  <c r="AE17" i="4" l="1"/>
  <c r="AF17" i="4" s="1"/>
  <c r="K198" i="4"/>
  <c r="L198" i="4" l="1"/>
  <c r="AE18" i="4"/>
  <c r="AF18" i="4" s="1"/>
  <c r="K199" i="4"/>
  <c r="L199" i="4" s="1"/>
  <c r="AE19" i="4" l="1"/>
  <c r="AF19" i="4" s="1"/>
  <c r="K200" i="4"/>
  <c r="L200" i="4" s="1"/>
  <c r="AE20" i="4" l="1"/>
  <c r="AF20" i="4" s="1"/>
  <c r="K201" i="4"/>
  <c r="L201" i="4" s="1"/>
  <c r="AE21" i="4" l="1"/>
  <c r="AF21" i="4" s="1"/>
  <c r="K202" i="4"/>
  <c r="L202" i="4" s="1"/>
  <c r="K203" i="4" l="1"/>
  <c r="L203" i="4" s="1"/>
  <c r="AE22" i="4"/>
  <c r="AF22" i="4" s="1"/>
  <c r="AE23" i="4" l="1"/>
  <c r="AF23" i="4" s="1"/>
  <c r="K204" i="4"/>
  <c r="L204" i="4" s="1"/>
  <c r="AE24" i="4" l="1"/>
  <c r="AF24" i="4" s="1"/>
  <c r="K205" i="4"/>
  <c r="L205" i="4" s="1"/>
  <c r="AE25" i="4" l="1"/>
  <c r="AF25" i="4" s="1"/>
  <c r="K206" i="4"/>
  <c r="L206" i="4" l="1"/>
  <c r="K207" i="4"/>
  <c r="K208" i="4" s="1"/>
  <c r="AE26" i="4"/>
  <c r="AF26" i="4" s="1"/>
  <c r="K209" i="4" l="1"/>
  <c r="K210" i="4" s="1"/>
  <c r="K211" i="4" s="1"/>
  <c r="K212" i="4" s="1"/>
  <c r="K213" i="4" s="1"/>
  <c r="K214" i="4" s="1"/>
  <c r="K215" i="4" s="1"/>
  <c r="K216" i="4" s="1"/>
  <c r="K217" i="4" s="1"/>
  <c r="K218" i="4" s="1"/>
  <c r="L207" i="4"/>
  <c r="AE27" i="4"/>
  <c r="AF27" i="4" s="1"/>
  <c r="L208" i="4"/>
  <c r="K219" i="4" l="1"/>
  <c r="K220" i="4" s="1"/>
  <c r="K221" i="4" s="1"/>
  <c r="K222" i="4" s="1"/>
  <c r="K223" i="4" s="1"/>
  <c r="K224" i="4" s="1"/>
  <c r="K225" i="4" s="1"/>
  <c r="K226" i="4" s="1"/>
  <c r="K227" i="4" s="1"/>
  <c r="K228" i="4" s="1"/>
  <c r="AE28" i="4"/>
  <c r="AF28" i="4" s="1"/>
  <c r="L209" i="4"/>
  <c r="K229" i="4" l="1"/>
  <c r="K230" i="4" s="1"/>
  <c r="K231" i="4" s="1"/>
  <c r="K232" i="4" s="1"/>
  <c r="K233" i="4" s="1"/>
  <c r="K234" i="4" s="1"/>
  <c r="K235" i="4" s="1"/>
  <c r="K236" i="4" s="1"/>
  <c r="K237" i="4" s="1"/>
  <c r="K238" i="4" s="1"/>
  <c r="AE29" i="4"/>
  <c r="AF29" i="4" s="1"/>
  <c r="L210" i="4"/>
  <c r="K239" i="4" l="1"/>
  <c r="K240" i="4" s="1"/>
  <c r="K241" i="4" s="1"/>
  <c r="K242" i="4" s="1"/>
  <c r="K243" i="4" s="1"/>
  <c r="K244" i="4" s="1"/>
  <c r="K245" i="4" s="1"/>
  <c r="K246" i="4" s="1"/>
  <c r="K247" i="4" s="1"/>
  <c r="K248" i="4" s="1"/>
  <c r="L211" i="4"/>
  <c r="AE30" i="4"/>
  <c r="AF30" i="4" s="1"/>
  <c r="K249" i="4" l="1"/>
  <c r="K250" i="4" s="1"/>
  <c r="K251" i="4" s="1"/>
  <c r="K252" i="4" s="1"/>
  <c r="K253" i="4" s="1"/>
  <c r="K254" i="4" s="1"/>
  <c r="K255" i="4" s="1"/>
  <c r="K256" i="4" s="1"/>
  <c r="K257" i="4" s="1"/>
  <c r="K258" i="4" s="1"/>
  <c r="L212" i="4"/>
  <c r="AE31" i="4"/>
  <c r="AF31" i="4" s="1"/>
  <c r="K259" i="4" l="1"/>
  <c r="K260" i="4" s="1"/>
  <c r="K261" i="4" s="1"/>
  <c r="K262" i="4" s="1"/>
  <c r="K263" i="4" s="1"/>
  <c r="K264" i="4" s="1"/>
  <c r="K265" i="4" s="1"/>
  <c r="K266" i="4" s="1"/>
  <c r="K267" i="4" s="1"/>
  <c r="L213" i="4"/>
  <c r="AE32" i="4"/>
  <c r="AF32" i="4" s="1"/>
  <c r="K268" i="4" l="1"/>
  <c r="AJ27" i="4"/>
  <c r="L214" i="4"/>
  <c r="AE33" i="4"/>
  <c r="AF33" i="4" s="1"/>
  <c r="K269" i="4" l="1"/>
  <c r="AJ28" i="4"/>
  <c r="AE34" i="4"/>
  <c r="AF34" i="4" s="1"/>
  <c r="L215" i="4"/>
  <c r="K270" i="4" l="1"/>
  <c r="AJ29" i="4"/>
  <c r="L216" i="4"/>
  <c r="AE35" i="4"/>
  <c r="AF35" i="4" s="1"/>
  <c r="K271" i="4" l="1"/>
  <c r="K272" i="4" s="1"/>
  <c r="K273" i="4" s="1"/>
  <c r="K274" i="4" s="1"/>
  <c r="K275" i="4" s="1"/>
  <c r="K276" i="4" s="1"/>
  <c r="K277" i="4" s="1"/>
  <c r="K278" i="4" s="1"/>
  <c r="AJ30" i="4"/>
  <c r="L217" i="4"/>
  <c r="AE36" i="4"/>
  <c r="AF36" i="4" s="1"/>
  <c r="K279" i="4" l="1"/>
  <c r="K280" i="4" s="1"/>
  <c r="K281" i="4" s="1"/>
  <c r="K282" i="4" s="1"/>
  <c r="K283" i="4" s="1"/>
  <c r="K284" i="4" s="1"/>
  <c r="K285" i="4" s="1"/>
  <c r="K286" i="4" s="1"/>
  <c r="K287" i="4" s="1"/>
  <c r="K288" i="4" s="1"/>
  <c r="AE37" i="4"/>
  <c r="AF37" i="4" s="1"/>
  <c r="L218" i="4"/>
  <c r="K289" i="4" l="1"/>
  <c r="K290" i="4" s="1"/>
  <c r="K291" i="4" s="1"/>
  <c r="AE38" i="4"/>
  <c r="AF38" i="4" s="1"/>
  <c r="L219" i="4"/>
  <c r="K292" i="4" l="1"/>
  <c r="K293" i="4" s="1"/>
  <c r="K294" i="4" s="1"/>
  <c r="K295" i="4" s="1"/>
  <c r="K296" i="4" s="1"/>
  <c r="K297" i="4" s="1"/>
  <c r="K298" i="4" s="1"/>
  <c r="K299" i="4" s="1"/>
  <c r="K300" i="4" s="1"/>
  <c r="K301" i="4" s="1"/>
  <c r="K302" i="4" s="1"/>
  <c r="K303" i="4" s="1"/>
  <c r="K304" i="4" s="1"/>
  <c r="K305" i="4" s="1"/>
  <c r="K306" i="4" s="1"/>
  <c r="K307" i="4" s="1"/>
  <c r="K308" i="4" s="1"/>
  <c r="L220" i="4"/>
  <c r="AE39" i="4"/>
  <c r="AF39" i="4" s="1"/>
  <c r="K309" i="4" l="1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K328" i="4" s="1"/>
  <c r="K329" i="4" s="1"/>
  <c r="K330" i="4" s="1"/>
  <c r="K331" i="4" s="1"/>
  <c r="K332" i="4" s="1"/>
  <c r="K333" i="4" s="1"/>
  <c r="K334" i="4" s="1"/>
  <c r="K335" i="4" s="1"/>
  <c r="K336" i="4" s="1"/>
  <c r="K337" i="4" s="1"/>
  <c r="K338" i="4" s="1"/>
  <c r="L221" i="4"/>
  <c r="AE40" i="4"/>
  <c r="AF40" i="4" s="1"/>
  <c r="K339" i="4" l="1"/>
  <c r="K340" i="4" s="1"/>
  <c r="K341" i="4" s="1"/>
  <c r="K342" i="4" s="1"/>
  <c r="K343" i="4" s="1"/>
  <c r="L222" i="4"/>
  <c r="AE41" i="4"/>
  <c r="AF41" i="4" s="1"/>
  <c r="K344" i="4" l="1"/>
  <c r="L343" i="4"/>
  <c r="AO43" i="4"/>
  <c r="AP43" i="4" s="1"/>
  <c r="AE42" i="4"/>
  <c r="AF42" i="4" s="1"/>
  <c r="L223" i="4"/>
  <c r="L344" i="4" l="1"/>
  <c r="AO44" i="4"/>
  <c r="AP44" i="4" s="1"/>
  <c r="K345" i="4"/>
  <c r="L224" i="4"/>
  <c r="AE43" i="4"/>
  <c r="AF43" i="4" s="1"/>
  <c r="AO45" i="4" l="1"/>
  <c r="K346" i="4"/>
  <c r="L345" i="4"/>
  <c r="AE44" i="4"/>
  <c r="AF44" i="4" s="1"/>
  <c r="L225" i="4"/>
  <c r="AP45" i="4" l="1"/>
  <c r="L346" i="4"/>
  <c r="K347" i="4"/>
  <c r="AO46" i="4"/>
  <c r="AP46" i="4" s="1"/>
  <c r="AE45" i="4"/>
  <c r="AF45" i="4" s="1"/>
  <c r="L226" i="4"/>
  <c r="K348" i="4" l="1"/>
  <c r="AO47" i="4"/>
  <c r="AP47" i="4" s="1"/>
  <c r="L347" i="4"/>
  <c r="AE46" i="4"/>
  <c r="AF46" i="4" s="1"/>
  <c r="L227" i="4"/>
  <c r="K349" i="4" l="1"/>
  <c r="L348" i="4"/>
  <c r="AO48" i="4"/>
  <c r="AP48" i="4" s="1"/>
  <c r="AE47" i="4"/>
  <c r="AF47" i="4" s="1"/>
  <c r="L228" i="4"/>
  <c r="L349" i="4" l="1"/>
  <c r="AO49" i="4"/>
  <c r="AP49" i="4" s="1"/>
  <c r="K350" i="4"/>
  <c r="AE48" i="4"/>
  <c r="AF48" i="4" s="1"/>
  <c r="L229" i="4"/>
  <c r="AO50" i="4" l="1"/>
  <c r="AP50" i="4" s="1"/>
  <c r="L350" i="4"/>
  <c r="K351" i="4"/>
  <c r="AE49" i="4"/>
  <c r="AF49" i="4" s="1"/>
  <c r="L230" i="4"/>
  <c r="L351" i="4" l="1"/>
  <c r="K352" i="4"/>
  <c r="AO51" i="4"/>
  <c r="AP51" i="4" s="1"/>
  <c r="AE50" i="4"/>
  <c r="AF50" i="4" s="1"/>
  <c r="L231" i="4"/>
  <c r="L352" i="4" l="1"/>
  <c r="K353" i="4"/>
  <c r="AO52" i="4"/>
  <c r="AP52" i="4" s="1"/>
  <c r="AE51" i="4"/>
  <c r="AF51" i="4" s="1"/>
  <c r="L232" i="4"/>
  <c r="L353" i="4" l="1"/>
  <c r="K354" i="4"/>
  <c r="AO53" i="4"/>
  <c r="AP53" i="4" s="1"/>
  <c r="AE52" i="4"/>
  <c r="AF52" i="4" s="1"/>
  <c r="L233" i="4"/>
  <c r="K355" i="4" l="1"/>
  <c r="AO54" i="4"/>
  <c r="L354" i="4"/>
  <c r="AE53" i="4"/>
  <c r="AF53" i="4" s="1"/>
  <c r="L234" i="4"/>
  <c r="AP54" i="4" l="1"/>
  <c r="AO55" i="4"/>
  <c r="AP55" i="4" s="1"/>
  <c r="K356" i="4"/>
  <c r="L355" i="4"/>
  <c r="AE54" i="4"/>
  <c r="AF54" i="4" s="1"/>
  <c r="L235" i="4"/>
  <c r="L356" i="4" l="1"/>
  <c r="K357" i="4"/>
  <c r="AO56" i="4"/>
  <c r="AE55" i="4"/>
  <c r="AF55" i="4" s="1"/>
  <c r="L236" i="4"/>
  <c r="AP56" i="4" l="1"/>
  <c r="L357" i="4"/>
  <c r="K358" i="4"/>
  <c r="AO57" i="4"/>
  <c r="AP57" i="4" s="1"/>
  <c r="AE56" i="4"/>
  <c r="AF56" i="4" s="1"/>
  <c r="L237" i="4"/>
  <c r="K359" i="4" l="1"/>
  <c r="AO58" i="4"/>
  <c r="L358" i="4"/>
  <c r="AE57" i="4"/>
  <c r="AF57" i="4" s="1"/>
  <c r="L238" i="4"/>
  <c r="AP58" i="4" l="1"/>
  <c r="AO59" i="4"/>
  <c r="AP59" i="4" s="1"/>
  <c r="L359" i="4"/>
  <c r="K360" i="4"/>
  <c r="AE58" i="4"/>
  <c r="AF58" i="4" s="1"/>
  <c r="L239" i="4"/>
  <c r="L360" i="4" l="1"/>
  <c r="K361" i="4"/>
  <c r="AO60" i="4"/>
  <c r="AE59" i="4"/>
  <c r="AF59" i="4" s="1"/>
  <c r="L240" i="4"/>
  <c r="AP60" i="4" l="1"/>
  <c r="AO61" i="4"/>
  <c r="AP61" i="4" s="1"/>
  <c r="L361" i="4"/>
  <c r="K362" i="4"/>
  <c r="AE60" i="4"/>
  <c r="AF60" i="4" s="1"/>
  <c r="L241" i="4"/>
  <c r="L362" i="4" l="1"/>
  <c r="K363" i="4"/>
  <c r="AO62" i="4"/>
  <c r="AE61" i="4"/>
  <c r="AF61" i="4" s="1"/>
  <c r="L242" i="4"/>
  <c r="AP62" i="4" l="1"/>
  <c r="K364" i="4"/>
  <c r="AO63" i="4"/>
  <c r="AP63" i="4" s="1"/>
  <c r="L363" i="4"/>
  <c r="AE62" i="4"/>
  <c r="AF62" i="4" s="1"/>
  <c r="L243" i="4"/>
  <c r="AO64" i="4" l="1"/>
  <c r="AP64" i="4" s="1"/>
  <c r="K365" i="4"/>
  <c r="L364" i="4"/>
  <c r="AE63" i="4"/>
  <c r="L244" i="4"/>
  <c r="AO65" i="4" l="1"/>
  <c r="AP65" i="4" s="1"/>
  <c r="L365" i="4"/>
  <c r="K366" i="4"/>
  <c r="AF63" i="4"/>
  <c r="AE64" i="4"/>
  <c r="AF64" i="4" s="1"/>
  <c r="L245" i="4"/>
  <c r="AO66" i="4" l="1"/>
  <c r="AP66" i="4" s="1"/>
  <c r="L366" i="4"/>
  <c r="K367" i="4"/>
  <c r="AE65" i="4"/>
  <c r="L246" i="4"/>
  <c r="K368" i="4" l="1"/>
  <c r="AO67" i="4"/>
  <c r="AP67" i="4" s="1"/>
  <c r="L367" i="4"/>
  <c r="AF65" i="4"/>
  <c r="AE66" i="4"/>
  <c r="AF66" i="4" s="1"/>
  <c r="L247" i="4"/>
  <c r="AO68" i="4" l="1"/>
  <c r="L368" i="4"/>
  <c r="K369" i="4"/>
  <c r="AE67" i="4"/>
  <c r="L248" i="4"/>
  <c r="AP68" i="4" l="1"/>
  <c r="L369" i="4"/>
  <c r="AS9" i="4"/>
  <c r="AT9" i="4" s="1"/>
  <c r="K370" i="4"/>
  <c r="AF67" i="4"/>
  <c r="AE68" i="4"/>
  <c r="L249" i="4"/>
  <c r="K371" i="4" l="1"/>
  <c r="L370" i="4"/>
  <c r="AS10" i="4"/>
  <c r="AF68" i="4"/>
  <c r="AJ9" i="4"/>
  <c r="L250" i="4"/>
  <c r="AT10" i="4" l="1"/>
  <c r="AS11" i="4"/>
  <c r="AT11" i="4" s="1"/>
  <c r="K372" i="4"/>
  <c r="L371" i="4"/>
  <c r="AK9" i="4"/>
  <c r="AJ10" i="4"/>
  <c r="L251" i="4"/>
  <c r="L372" i="4" l="1"/>
  <c r="AS12" i="4"/>
  <c r="K373" i="4"/>
  <c r="AK10" i="4"/>
  <c r="AJ11" i="4"/>
  <c r="L252" i="4"/>
  <c r="AT12" i="4" l="1"/>
  <c r="AS13" i="4"/>
  <c r="AT13" i="4" s="1"/>
  <c r="K374" i="4"/>
  <c r="L373" i="4"/>
  <c r="AK11" i="4"/>
  <c r="AJ12" i="4"/>
  <c r="L253" i="4"/>
  <c r="K375" i="4" l="1"/>
  <c r="L374" i="4"/>
  <c r="AS14" i="4"/>
  <c r="AK12" i="4"/>
  <c r="AJ13" i="4"/>
  <c r="AK13" i="4" s="1"/>
  <c r="AJ14" i="4"/>
  <c r="AK14" i="4" s="1"/>
  <c r="AT14" i="4" l="1"/>
  <c r="L375" i="4"/>
  <c r="AS15" i="4"/>
  <c r="K376" i="4"/>
  <c r="L255" i="4"/>
  <c r="L254" i="4"/>
  <c r="AT15" i="4" l="1"/>
  <c r="AS16" i="4"/>
  <c r="L376" i="4"/>
  <c r="K377" i="4"/>
  <c r="AJ15" i="4"/>
  <c r="AT16" i="4" l="1"/>
  <c r="L377" i="4"/>
  <c r="K378" i="4"/>
  <c r="AS17" i="4"/>
  <c r="AK15" i="4"/>
  <c r="L256" i="4"/>
  <c r="AJ16" i="4"/>
  <c r="AK16" i="4" s="1"/>
  <c r="AJ17" i="4"/>
  <c r="AK17" i="4" s="1"/>
  <c r="L257" i="4"/>
  <c r="AT17" i="4" l="1"/>
  <c r="L378" i="4"/>
  <c r="AS18" i="4"/>
  <c r="AT18" i="4" s="1"/>
  <c r="K379" i="4"/>
  <c r="AJ18" i="4"/>
  <c r="L258" i="4"/>
  <c r="AS19" i="4" l="1"/>
  <c r="L379" i="4"/>
  <c r="K380" i="4"/>
  <c r="AK18" i="4"/>
  <c r="AJ19" i="4"/>
  <c r="AK19" i="4" s="1"/>
  <c r="L259" i="4"/>
  <c r="AT19" i="4" l="1"/>
  <c r="L380" i="4"/>
  <c r="AS20" i="4"/>
  <c r="AT20" i="4" s="1"/>
  <c r="K381" i="4"/>
  <c r="AJ20" i="4"/>
  <c r="L260" i="4"/>
  <c r="L381" i="4" l="1"/>
  <c r="AS21" i="4"/>
  <c r="K382" i="4"/>
  <c r="AK20" i="4"/>
  <c r="AJ21" i="4"/>
  <c r="AK21" i="4" s="1"/>
  <c r="L261" i="4"/>
  <c r="AT21" i="4" l="1"/>
  <c r="AS22" i="4"/>
  <c r="AT22" i="4" s="1"/>
  <c r="L382" i="4"/>
  <c r="K383" i="4"/>
  <c r="AJ22" i="4"/>
  <c r="L262" i="4"/>
  <c r="L383" i="4" l="1"/>
  <c r="AS23" i="4"/>
  <c r="K384" i="4"/>
  <c r="AK22" i="4"/>
  <c r="AJ23" i="4"/>
  <c r="AK23" i="4" s="1"/>
  <c r="L263" i="4"/>
  <c r="AT23" i="4" l="1"/>
  <c r="AS24" i="4"/>
  <c r="L384" i="4"/>
  <c r="AJ24" i="4"/>
  <c r="L264" i="4"/>
  <c r="AT24" i="4" l="1"/>
  <c r="AK24" i="4"/>
  <c r="AJ25" i="4"/>
  <c r="L265" i="4"/>
  <c r="AK25" i="4" l="1"/>
  <c r="AJ26" i="4"/>
  <c r="L266" i="4"/>
  <c r="AK26" i="4" l="1"/>
  <c r="AK27" i="4"/>
  <c r="L267" i="4"/>
  <c r="AK28" i="4" l="1"/>
  <c r="L268" i="4"/>
  <c r="AK29" i="4" l="1"/>
  <c r="L269" i="4"/>
  <c r="AK30" i="4" l="1"/>
  <c r="L270" i="4"/>
  <c r="AJ31" i="4" l="1"/>
  <c r="L271" i="4"/>
  <c r="AK31" i="4" l="1"/>
  <c r="AJ32" i="4"/>
  <c r="L272" i="4"/>
  <c r="AK32" i="4" l="1"/>
  <c r="AJ33" i="4"/>
  <c r="L273" i="4"/>
  <c r="AK33" i="4" l="1"/>
  <c r="AJ34" i="4"/>
  <c r="L274" i="4"/>
  <c r="AK34" i="4" l="1"/>
  <c r="AJ35" i="4"/>
  <c r="L275" i="4"/>
  <c r="AK35" i="4" l="1"/>
  <c r="AJ36" i="4"/>
  <c r="L276" i="4"/>
  <c r="AK36" i="4" l="1"/>
  <c r="AJ37" i="4"/>
  <c r="AK37" i="4" s="1"/>
  <c r="L277" i="4"/>
  <c r="AJ38" i="4" l="1"/>
  <c r="L278" i="4"/>
  <c r="AK38" i="4" l="1"/>
  <c r="AJ39" i="4"/>
  <c r="AK39" i="4" s="1"/>
  <c r="L279" i="4"/>
  <c r="AJ40" i="4" l="1"/>
  <c r="L280" i="4"/>
  <c r="AK40" i="4" l="1"/>
  <c r="AJ41" i="4"/>
  <c r="AK41" i="4" s="1"/>
  <c r="L281" i="4"/>
  <c r="AJ42" i="4" l="1"/>
  <c r="AK42" i="4" s="1"/>
  <c r="L282" i="4"/>
  <c r="AJ43" i="4" l="1"/>
  <c r="AK43" i="4" s="1"/>
  <c r="L283" i="4"/>
  <c r="AJ44" i="4" l="1"/>
  <c r="AK44" i="4" s="1"/>
  <c r="L284" i="4"/>
  <c r="AJ45" i="4" l="1"/>
  <c r="L285" i="4"/>
  <c r="AK45" i="4" l="1"/>
  <c r="AJ46" i="4"/>
  <c r="AK46" i="4" s="1"/>
  <c r="L286" i="4"/>
  <c r="AJ47" i="4" l="1"/>
  <c r="L287" i="4"/>
  <c r="AK47" i="4" l="1"/>
  <c r="AJ48" i="4"/>
  <c r="AK48" i="4" s="1"/>
  <c r="L288" i="4"/>
  <c r="AJ49" i="4" l="1"/>
  <c r="L289" i="4"/>
  <c r="AK49" i="4" l="1"/>
  <c r="AJ50" i="4"/>
  <c r="AK50" i="4" s="1"/>
  <c r="L290" i="4"/>
  <c r="AJ51" i="4" l="1"/>
  <c r="L291" i="4"/>
  <c r="AK51" i="4" l="1"/>
  <c r="AJ52" i="4"/>
  <c r="AK52" i="4" s="1"/>
  <c r="L292" i="4"/>
  <c r="AJ53" i="4" l="1"/>
  <c r="L293" i="4"/>
  <c r="AK53" i="4" l="1"/>
  <c r="AJ54" i="4"/>
  <c r="AK54" i="4" s="1"/>
  <c r="L294" i="4"/>
  <c r="AJ55" i="4" l="1"/>
  <c r="AK55" i="4" s="1"/>
  <c r="L295" i="4"/>
  <c r="AJ56" i="4" l="1"/>
  <c r="AK56" i="4" s="1"/>
  <c r="L296" i="4"/>
  <c r="AJ57" i="4" l="1"/>
  <c r="L297" i="4"/>
  <c r="AK57" i="4" l="1"/>
  <c r="AJ58" i="4"/>
  <c r="AK58" i="4" s="1"/>
  <c r="L298" i="4"/>
  <c r="AJ59" i="4" l="1"/>
  <c r="L299" i="4"/>
  <c r="AK59" i="4" l="1"/>
  <c r="AJ60" i="4"/>
  <c r="AK60" i="4" s="1"/>
  <c r="L300" i="4"/>
  <c r="AJ61" i="4" l="1"/>
  <c r="L301" i="4"/>
  <c r="AK61" i="4" l="1"/>
  <c r="AJ62" i="4"/>
  <c r="AK62" i="4" s="1"/>
  <c r="L302" i="4"/>
  <c r="AJ63" i="4" l="1"/>
  <c r="L303" i="4"/>
  <c r="AK63" i="4" l="1"/>
  <c r="AJ64" i="4"/>
  <c r="AK64" i="4" s="1"/>
  <c r="L304" i="4"/>
  <c r="AJ65" i="4" l="1"/>
  <c r="L305" i="4"/>
  <c r="AK65" i="4" l="1"/>
  <c r="AJ66" i="4"/>
  <c r="AK66" i="4" s="1"/>
  <c r="L306" i="4"/>
  <c r="AJ67" i="4" l="1"/>
  <c r="L307" i="4"/>
  <c r="AK67" i="4" l="1"/>
  <c r="AJ68" i="4"/>
  <c r="L308" i="4"/>
  <c r="L309" i="4"/>
  <c r="AK68" i="4" l="1"/>
  <c r="L310" i="4"/>
  <c r="AO9" i="4"/>
  <c r="AP9" i="4" l="1"/>
  <c r="L311" i="4"/>
  <c r="AO10" i="4"/>
  <c r="AP10" i="4" l="1"/>
  <c r="L312" i="4"/>
  <c r="AO11" i="4"/>
  <c r="AP11" i="4" l="1"/>
  <c r="AO12" i="4"/>
  <c r="AP12" i="4" l="1"/>
  <c r="AO13" i="4"/>
  <c r="AP13" i="4" s="1"/>
  <c r="L313" i="4"/>
  <c r="AO14" i="4" l="1"/>
  <c r="L314" i="4"/>
  <c r="AP14" i="4" l="1"/>
  <c r="AO15" i="4"/>
  <c r="AP15" i="4" s="1"/>
  <c r="L315" i="4"/>
  <c r="AO16" i="4" l="1"/>
  <c r="AP16" i="4" s="1"/>
  <c r="L316" i="4"/>
  <c r="AO17" i="4" l="1"/>
  <c r="AP17" i="4" s="1"/>
  <c r="L317" i="4"/>
  <c r="AO18" i="4" l="1"/>
  <c r="L318" i="4"/>
  <c r="AP18" i="4" l="1"/>
  <c r="AO19" i="4"/>
  <c r="AP19" i="4" s="1"/>
  <c r="L319" i="4"/>
  <c r="AO20" i="4" l="1"/>
  <c r="L320" i="4"/>
  <c r="AP20" i="4" l="1"/>
  <c r="AO21" i="4"/>
  <c r="AP21" i="4" s="1"/>
  <c r="L321" i="4"/>
  <c r="AO22" i="4" l="1"/>
  <c r="L322" i="4"/>
  <c r="AP22" i="4" l="1"/>
  <c r="AO23" i="4"/>
  <c r="AP23" i="4" s="1"/>
  <c r="L323" i="4"/>
  <c r="AO24" i="4" l="1"/>
  <c r="L324" i="4"/>
  <c r="AP24" i="4" l="1"/>
  <c r="AO25" i="4"/>
  <c r="AP25" i="4" s="1"/>
  <c r="L325" i="4"/>
  <c r="AO26" i="4" l="1"/>
  <c r="L326" i="4"/>
  <c r="AP26" i="4" l="1"/>
  <c r="AO27" i="4"/>
  <c r="AP27" i="4" s="1"/>
  <c r="L327" i="4"/>
  <c r="AO28" i="4" l="1"/>
  <c r="AP28" i="4" s="1"/>
  <c r="L328" i="4"/>
  <c r="AO29" i="4" l="1"/>
  <c r="AP29" i="4" s="1"/>
  <c r="L329" i="4"/>
  <c r="AO30" i="4" l="1"/>
  <c r="AP30" i="4" s="1"/>
  <c r="L330" i="4"/>
  <c r="AO31" i="4" l="1"/>
  <c r="AP31" i="4" s="1"/>
  <c r="L331" i="4"/>
  <c r="AO32" i="4" l="1"/>
  <c r="AP32" i="4" s="1"/>
  <c r="L332" i="4"/>
  <c r="AO33" i="4" l="1"/>
  <c r="AP33" i="4" s="1"/>
  <c r="L333" i="4"/>
  <c r="AO34" i="4" l="1"/>
  <c r="AP34" i="4" s="1"/>
  <c r="L334" i="4"/>
  <c r="AO35" i="4" l="1"/>
  <c r="AP35" i="4" s="1"/>
  <c r="L335" i="4"/>
  <c r="L336" i="4"/>
  <c r="AO36" i="4" l="1"/>
  <c r="AP36" i="4" s="1"/>
  <c r="L337" i="4"/>
  <c r="L338" i="4" l="1"/>
  <c r="AO37" i="4"/>
  <c r="AS39" i="4" l="1"/>
  <c r="AT39" i="4" s="1"/>
  <c r="AS38" i="4"/>
  <c r="AT38" i="4" s="1"/>
  <c r="AP37" i="4"/>
  <c r="L339" i="4"/>
  <c r="AO38" i="4"/>
  <c r="AP38" i="4" s="1"/>
  <c r="L340" i="4" l="1"/>
  <c r="AO39" i="4"/>
  <c r="AP39" i="4" l="1"/>
  <c r="L341" i="4"/>
  <c r="AO40" i="4"/>
  <c r="AP40" i="4" s="1"/>
  <c r="AO41" i="4" l="1"/>
  <c r="AP41" i="4" l="1"/>
  <c r="AO42" i="4"/>
  <c r="AW8" i="4" s="1"/>
  <c r="L342" i="4"/>
  <c r="AP42" i="4" l="1"/>
  <c r="AX19" i="4" l="1"/>
  <c r="AW20" i="4" s="1"/>
  <c r="AX20" i="4" s="1"/>
  <c r="AW21" i="4" s="1"/>
  <c r="AX21" i="4" s="1"/>
  <c r="AW22" i="4" s="1"/>
  <c r="AX22" i="4" s="1"/>
  <c r="AW23" i="4" l="1"/>
  <c r="AX23" i="4" s="1"/>
  <c r="AW24" i="4" s="1"/>
  <c r="AX24" i="4" s="1"/>
  <c r="AW25" i="4" s="1"/>
  <c r="AX25" i="4" s="1"/>
  <c r="AW26" i="4" s="1"/>
  <c r="AX26" i="4" l="1"/>
  <c r="AW27" i="4" l="1"/>
  <c r="AX27" i="4" s="1"/>
  <c r="AW28" i="4" s="1"/>
  <c r="AX28" i="4" s="1"/>
  <c r="AW29" i="4" s="1"/>
  <c r="AX29" i="4" s="1"/>
  <c r="AW30" i="4" s="1"/>
  <c r="AX30" i="4" s="1"/>
  <c r="AW31" i="4" s="1"/>
  <c r="AX31" i="4" s="1"/>
  <c r="AW32" i="4" s="1"/>
  <c r="AX32" i="4" s="1"/>
  <c r="AW33" i="4" s="1"/>
  <c r="AX33" i="4" l="1"/>
  <c r="AW34" i="4" l="1"/>
  <c r="AX34" i="4" s="1"/>
  <c r="AW35" i="4" l="1"/>
  <c r="AX35" i="4" s="1"/>
  <c r="AW36" i="4" l="1"/>
  <c r="AX36" i="4" s="1"/>
  <c r="AW37" i="4" s="1"/>
  <c r="AX37" i="4" s="1"/>
  <c r="AW38" i="4" s="1"/>
  <c r="AX38" i="4" s="1"/>
  <c r="AW39" i="4" s="1"/>
  <c r="AX39" i="4" s="1"/>
  <c r="AW40" i="4" s="1"/>
  <c r="AX40" i="4" s="1"/>
  <c r="AW41" i="4" s="1"/>
  <c r="AX41" i="4" s="1"/>
  <c r="AW42" i="4" s="1"/>
  <c r="AX42" i="4" s="1"/>
  <c r="AW43" i="4" s="1"/>
  <c r="AX43" i="4" s="1"/>
  <c r="AW44" i="4" s="1"/>
  <c r="AX44" i="4" s="1"/>
  <c r="AW45" i="4" s="1"/>
  <c r="AX45" i="4" s="1"/>
  <c r="AW46" i="4" s="1"/>
  <c r="AX46" i="4" s="1"/>
  <c r="AW47" i="4" s="1"/>
  <c r="AX47" i="4" s="1"/>
  <c r="AW48" i="4" s="1"/>
  <c r="AX48" i="4" s="1"/>
  <c r="AW49" i="4" s="1"/>
  <c r="AX49" i="4" s="1"/>
  <c r="AW50" i="4" s="1"/>
  <c r="AX50" i="4" s="1"/>
  <c r="AW51" i="4" l="1"/>
  <c r="AX51" i="4" s="1"/>
  <c r="AW52" i="4" l="1"/>
  <c r="AX52" i="4" s="1"/>
  <c r="AW53" i="4" l="1"/>
  <c r="AX53" i="4" s="1"/>
  <c r="AW54" i="4" l="1"/>
  <c r="AX54" i="4" s="1"/>
  <c r="AW55" i="4" l="1"/>
  <c r="AX55" i="4" s="1"/>
  <c r="AW56" i="4" l="1"/>
  <c r="AX56" i="4" s="1"/>
  <c r="AW57" i="4" l="1"/>
  <c r="AX57" i="4" l="1"/>
  <c r="AX59" i="4" s="1"/>
  <c r="R6" i="4" l="1"/>
</calcChain>
</file>

<file path=xl/sharedStrings.xml><?xml version="1.0" encoding="utf-8"?>
<sst xmlns="http://schemas.openxmlformats.org/spreadsheetml/2006/main" count="65" uniqueCount="34">
  <si>
    <t>3 1/2" EUE</t>
  </si>
  <si>
    <t>Perdida de apriete</t>
  </si>
  <si>
    <t>Pulg</t>
  </si>
  <si>
    <t>pies</t>
  </si>
  <si>
    <t>PROFUNDIDAD PUNTA:</t>
  </si>
  <si>
    <t>FT</t>
  </si>
  <si>
    <t>No.</t>
  </si>
  <si>
    <t>Diferencia</t>
  </si>
  <si>
    <t>Tally Tenaris efectiva</t>
  </si>
  <si>
    <t>Medida Tally Rig</t>
  </si>
  <si>
    <t>Diferencia Rig/Tenaris</t>
  </si>
  <si>
    <t>Ltotal
(Pies)</t>
  </si>
  <si>
    <t>Long. Ef.
(pies)</t>
  </si>
  <si>
    <t>ACUM.</t>
  </si>
  <si>
    <t xml:space="preserve">Total + BHA + EM + Hanger </t>
  </si>
  <si>
    <t>Par</t>
  </si>
  <si>
    <t>LONG.</t>
  </si>
  <si>
    <t>TOTAL</t>
  </si>
  <si>
    <t>LONG</t>
  </si>
  <si>
    <t>ACUMULADO DE TUBERÍA</t>
  </si>
  <si>
    <t>MEDIDA</t>
  </si>
  <si>
    <t>DESCRIPCIÓN</t>
  </si>
  <si>
    <t>TOPE</t>
  </si>
  <si>
    <t>BASE</t>
  </si>
  <si>
    <t>Punta</t>
  </si>
  <si>
    <t>TOTAL BHA</t>
  </si>
  <si>
    <t>PROFUNDIDAD PUNTA</t>
  </si>
  <si>
    <t>Company. Man</t>
  </si>
  <si>
    <t>P. Montoya</t>
  </si>
  <si>
    <t>Asistente</t>
  </si>
  <si>
    <t xml:space="preserve">I. Torres. </t>
  </si>
  <si>
    <t>id tuberio FPtiP</t>
  </si>
  <si>
    <t>descripcion tuberia FPtoP</t>
  </si>
  <si>
    <t>Medida TASS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</si>
</sst>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;[Red]0.00"/>
    <numFmt numFmtId="165" formatCode="[$-409]d\-mmm\-yy;@"/>
    <numFmt numFmtId="166" formatCode="0.0"/>
    <numFmt numFmtId="167" formatCode="0.000"/>
    <numFmt numFmtId="168" formatCode="0.0000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i/>
      <sz val="12"/>
      <color rgb="FFFF0000"/>
      <name val="Arial"/>
      <family val="2"/>
    </font>
    <font>
      <b/>
      <i/>
      <sz val="14"/>
      <name val="Arial"/>
      <family val="2"/>
    </font>
    <font>
      <i/>
      <sz val="11"/>
      <name val="Arial"/>
      <family val="2"/>
    </font>
    <font>
      <sz val="10"/>
      <color rgb="FF0000CC"/>
      <name val="Arial"/>
      <family val="2"/>
    </font>
    <font>
      <b/>
      <sz val="10"/>
      <name val="Arial"/>
      <family val="2"/>
    </font>
    <font>
      <i/>
      <sz val="10"/>
      <color rgb="FF0000CC"/>
      <name val="Arial"/>
      <family val="2"/>
    </font>
    <font>
      <b/>
      <sz val="10"/>
      <color rgb="FF0000CC"/>
      <name val="Arial"/>
      <family val="2"/>
    </font>
    <font>
      <b/>
      <sz val="10"/>
      <color rgb="FFC00000"/>
      <name val="Arial"/>
      <family val="2"/>
    </font>
    <font>
      <i/>
      <sz val="10"/>
      <color rgb="FFFFFFCC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rgb="FFFFFFCC"/>
      <name val="Arial"/>
      <family val="2"/>
    </font>
    <font>
      <b/>
      <i/>
      <sz val="10"/>
      <color rgb="FF0000CC"/>
      <name val="Arial"/>
      <family val="2"/>
    </font>
    <font>
      <i/>
      <sz val="10"/>
      <color theme="0"/>
      <name val="Arial"/>
      <family val="2"/>
    </font>
    <font>
      <b/>
      <i/>
      <sz val="10"/>
      <color rgb="FFFFFF00"/>
      <name val="Arial"/>
      <family val="2"/>
    </font>
    <font>
      <b/>
      <i/>
      <sz val="10"/>
      <color theme="0"/>
      <name val="Arial"/>
      <family val="2"/>
    </font>
    <font>
      <b/>
      <sz val="12"/>
      <color rgb="FF0000CC"/>
      <name val="Arial"/>
      <family val="2"/>
    </font>
    <font>
      <b/>
      <i/>
      <sz val="11"/>
      <color rgb="FF0000CC"/>
      <name val="Arial"/>
      <family val="2"/>
    </font>
    <font>
      <b/>
      <i/>
      <sz val="10"/>
      <color rgb="FFC00000"/>
      <name val="Arial"/>
      <family val="2"/>
    </font>
    <font>
      <b/>
      <sz val="14"/>
      <color rgb="FF0000CC"/>
      <name val="Arial"/>
      <family val="2"/>
    </font>
    <font>
      <b/>
      <sz val="12"/>
      <color rgb="FFC00000"/>
      <name val="Arial"/>
      <family val="2"/>
    </font>
    <font>
      <b/>
      <sz val="14"/>
      <name val="Arial"/>
      <family val="2"/>
    </font>
    <font>
      <i/>
      <sz val="10"/>
      <color rgb="FFC00000"/>
      <name val="Arial"/>
      <family val="2"/>
    </font>
    <font>
      <b/>
      <i/>
      <sz val="9"/>
      <color rgb="FF006600"/>
      <name val="Arial"/>
      <family val="2"/>
    </font>
    <font>
      <i/>
      <sz val="10"/>
      <color rgb="FF0070C0"/>
      <name val="Arial"/>
      <family val="2"/>
    </font>
    <font>
      <b/>
      <i/>
      <sz val="10"/>
      <color rgb="FF006600"/>
      <name val="Arial"/>
      <family val="2"/>
    </font>
    <font>
      <b/>
      <sz val="10"/>
      <color rgb="FF006600"/>
      <name val="Arial"/>
      <family val="2"/>
    </font>
    <font>
      <b/>
      <sz val="14"/>
      <color rgb="FF006600"/>
      <name val="Arial"/>
      <family val="2"/>
    </font>
    <font>
      <sz val="10"/>
      <color rgb="FFFF0000"/>
      <name val="Arial"/>
      <family val="2"/>
    </font>
    <font>
      <b/>
      <i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0" fontId="8" fillId="0" borderId="0"/>
    <xf numFmtId="0" fontId="1" fillId="0" borderId="0"/>
  </cellStyleXfs>
  <cellXfs count="259">
    <xf numFmtId="0" fontId="0" fillId="0" borderId="0" xfId="0"/>
    <xf numFmtId="0" fontId="3" fillId="0" borderId="2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15" fontId="3" fillId="3" borderId="13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2" fontId="4" fillId="7" borderId="7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3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1" fontId="3" fillId="0" borderId="8" xfId="0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3" borderId="0" xfId="0" applyNumberFormat="1" applyFont="1" applyFill="1" applyAlignment="1">
      <alignment vertical="center"/>
    </xf>
    <xf numFmtId="2" fontId="4" fillId="0" borderId="0" xfId="0" applyNumberFormat="1" applyFont="1" applyAlignment="1">
      <alignment horizontal="center" vertical="center"/>
    </xf>
    <xf numFmtId="2" fontId="3" fillId="3" borderId="13" xfId="0" applyNumberFormat="1" applyFont="1" applyFill="1" applyBorder="1" applyAlignment="1">
      <alignment vertical="center"/>
    </xf>
    <xf numFmtId="1" fontId="3" fillId="3" borderId="0" xfId="0" applyNumberFormat="1" applyFont="1" applyFill="1" applyAlignment="1">
      <alignment vertical="center"/>
    </xf>
    <xf numFmtId="1" fontId="3" fillId="3" borderId="13" xfId="0" applyNumberFormat="1" applyFont="1" applyFill="1" applyBorder="1" applyAlignment="1">
      <alignment vertical="center"/>
    </xf>
    <xf numFmtId="1" fontId="3" fillId="2" borderId="4" xfId="0" applyNumberFormat="1" applyFont="1" applyFill="1" applyBorder="1" applyAlignment="1">
      <alignment horizontal="center" vertical="center"/>
    </xf>
    <xf numFmtId="1" fontId="0" fillId="3" borderId="0" xfId="0" applyNumberFormat="1" applyFill="1"/>
    <xf numFmtId="2" fontId="0" fillId="3" borderId="0" xfId="0" applyNumberFormat="1" applyFill="1"/>
    <xf numFmtId="0" fontId="0" fillId="3" borderId="0" xfId="0" applyFill="1"/>
    <xf numFmtId="0" fontId="8" fillId="3" borderId="0" xfId="0" applyFont="1" applyFill="1"/>
    <xf numFmtId="0" fontId="0" fillId="3" borderId="0" xfId="0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5" fillId="0" borderId="10" xfId="0" applyNumberFormat="1" applyFont="1" applyBorder="1" applyAlignment="1">
      <alignment horizontal="right" vertical="center"/>
    </xf>
    <xf numFmtId="2" fontId="3" fillId="0" borderId="18" xfId="0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2" fontId="4" fillId="3" borderId="7" xfId="0" applyNumberFormat="1" applyFont="1" applyFill="1" applyBorder="1" applyAlignment="1">
      <alignment horizontal="center" vertical="center"/>
    </xf>
    <xf numFmtId="2" fontId="5" fillId="8" borderId="3" xfId="0" applyNumberFormat="1" applyFont="1" applyFill="1" applyBorder="1" applyAlignment="1">
      <alignment horizontal="right" vertical="center"/>
    </xf>
    <xf numFmtId="2" fontId="3" fillId="0" borderId="28" xfId="0" applyNumberFormat="1" applyFont="1" applyBorder="1" applyAlignment="1">
      <alignment horizontal="center" vertical="center"/>
    </xf>
    <xf numFmtId="164" fontId="4" fillId="0" borderId="40" xfId="0" applyNumberFormat="1" applyFont="1" applyBorder="1" applyAlignment="1">
      <alignment horizontal="right" vertical="center"/>
    </xf>
    <xf numFmtId="0" fontId="4" fillId="3" borderId="41" xfId="0" applyFont="1" applyFill="1" applyBorder="1"/>
    <xf numFmtId="2" fontId="3" fillId="0" borderId="9" xfId="0" applyNumberFormat="1" applyFont="1" applyBorder="1" applyAlignment="1">
      <alignment horizontal="center" vertical="center"/>
    </xf>
    <xf numFmtId="2" fontId="3" fillId="3" borderId="22" xfId="0" applyNumberFormat="1" applyFont="1" applyFill="1" applyBorder="1" applyAlignment="1">
      <alignment vertical="center"/>
    </xf>
    <xf numFmtId="2" fontId="3" fillId="3" borderId="14" xfId="0" applyNumberFormat="1" applyFont="1" applyFill="1" applyBorder="1" applyAlignment="1">
      <alignment vertical="center"/>
    </xf>
    <xf numFmtId="0" fontId="4" fillId="3" borderId="15" xfId="0" applyFont="1" applyFill="1" applyBorder="1" applyAlignment="1">
      <alignment horizontal="left" vertical="center"/>
    </xf>
    <xf numFmtId="2" fontId="3" fillId="3" borderId="11" xfId="0" applyNumberFormat="1" applyFont="1" applyFill="1" applyBorder="1" applyAlignment="1">
      <alignment vertical="center"/>
    </xf>
    <xf numFmtId="0" fontId="4" fillId="3" borderId="12" xfId="0" applyFont="1" applyFill="1" applyBorder="1" applyAlignment="1">
      <alignment horizontal="left" vertical="center"/>
    </xf>
    <xf numFmtId="1" fontId="2" fillId="6" borderId="46" xfId="0" applyNumberFormat="1" applyFont="1" applyFill="1" applyBorder="1" applyAlignment="1">
      <alignment horizontal="center" vertical="center"/>
    </xf>
    <xf numFmtId="2" fontId="2" fillId="6" borderId="47" xfId="0" applyNumberFormat="1" applyFont="1" applyFill="1" applyBorder="1" applyAlignment="1">
      <alignment horizontal="center" vertical="center"/>
    </xf>
    <xf numFmtId="2" fontId="2" fillId="6" borderId="47" xfId="0" applyNumberFormat="1" applyFont="1" applyFill="1" applyBorder="1" applyAlignment="1">
      <alignment horizontal="right" vertical="center"/>
    </xf>
    <xf numFmtId="2" fontId="2" fillId="6" borderId="48" xfId="0" applyNumberFormat="1" applyFont="1" applyFill="1" applyBorder="1" applyAlignment="1">
      <alignment horizontal="right" vertical="center"/>
    </xf>
    <xf numFmtId="0" fontId="4" fillId="3" borderId="49" xfId="0" applyFont="1" applyFill="1" applyBorder="1"/>
    <xf numFmtId="2" fontId="3" fillId="10" borderId="19" xfId="0" applyNumberFormat="1" applyFont="1" applyFill="1" applyBorder="1" applyAlignment="1">
      <alignment horizontal="center" vertical="center"/>
    </xf>
    <xf numFmtId="2" fontId="3" fillId="10" borderId="35" xfId="0" applyNumberFormat="1" applyFont="1" applyFill="1" applyBorder="1" applyAlignment="1">
      <alignment horizontal="center" vertical="center"/>
    </xf>
    <xf numFmtId="0" fontId="4" fillId="0" borderId="44" xfId="0" applyFont="1" applyBorder="1"/>
    <xf numFmtId="2" fontId="4" fillId="0" borderId="0" xfId="0" applyNumberFormat="1" applyFont="1"/>
    <xf numFmtId="2" fontId="4" fillId="9" borderId="23" xfId="0" applyNumberFormat="1" applyFont="1" applyFill="1" applyBorder="1" applyAlignment="1">
      <alignment horizontal="center" vertical="center"/>
    </xf>
    <xf numFmtId="2" fontId="4" fillId="9" borderId="38" xfId="0" applyNumberFormat="1" applyFont="1" applyFill="1" applyBorder="1" applyAlignment="1">
      <alignment horizontal="center" vertical="center"/>
    </xf>
    <xf numFmtId="164" fontId="3" fillId="8" borderId="43" xfId="0" applyNumberFormat="1" applyFont="1" applyFill="1" applyBorder="1" applyAlignment="1">
      <alignment horizontal="right" vertical="center"/>
    </xf>
    <xf numFmtId="2" fontId="4" fillId="3" borderId="44" xfId="0" applyNumberFormat="1" applyFont="1" applyFill="1" applyBorder="1" applyAlignment="1">
      <alignment horizontal="right" vertical="center"/>
    </xf>
    <xf numFmtId="2" fontId="4" fillId="3" borderId="45" xfId="0" applyNumberFormat="1" applyFont="1" applyFill="1" applyBorder="1" applyAlignment="1">
      <alignment horizontal="right" vertical="center"/>
    </xf>
    <xf numFmtId="2" fontId="4" fillId="0" borderId="42" xfId="0" applyNumberFormat="1" applyFont="1" applyBorder="1" applyAlignment="1">
      <alignment horizontal="right" vertical="center"/>
    </xf>
    <xf numFmtId="2" fontId="4" fillId="0" borderId="36" xfId="0" applyNumberFormat="1" applyFont="1" applyBorder="1" applyAlignment="1">
      <alignment horizontal="right" vertical="center"/>
    </xf>
    <xf numFmtId="164" fontId="4" fillId="3" borderId="43" xfId="0" applyNumberFormat="1" applyFont="1" applyFill="1" applyBorder="1" applyAlignment="1">
      <alignment horizontal="right" vertical="center"/>
    </xf>
    <xf numFmtId="165" fontId="3" fillId="0" borderId="0" xfId="0" applyNumberFormat="1" applyFont="1"/>
    <xf numFmtId="2" fontId="3" fillId="3" borderId="5" xfId="0" applyNumberFormat="1" applyFont="1" applyFill="1" applyBorder="1" applyAlignment="1">
      <alignment horizontal="center" vertical="center"/>
    </xf>
    <xf numFmtId="2" fontId="3" fillId="5" borderId="42" xfId="0" applyNumberFormat="1" applyFont="1" applyFill="1" applyBorder="1" applyAlignment="1">
      <alignment horizontal="right" vertical="center"/>
    </xf>
    <xf numFmtId="0" fontId="10" fillId="0" borderId="11" xfId="0" applyFont="1" applyBorder="1" applyAlignment="1">
      <alignment horizontal="right"/>
    </xf>
    <xf numFmtId="164" fontId="4" fillId="3" borderId="52" xfId="0" applyNumberFormat="1" applyFont="1" applyFill="1" applyBorder="1" applyAlignment="1">
      <alignment horizontal="right" vertical="center"/>
    </xf>
    <xf numFmtId="164" fontId="4" fillId="3" borderId="53" xfId="0" applyNumberFormat="1" applyFont="1" applyFill="1" applyBorder="1" applyAlignment="1">
      <alignment horizontal="center" vertical="center"/>
    </xf>
    <xf numFmtId="164" fontId="3" fillId="3" borderId="53" xfId="0" applyNumberFormat="1" applyFont="1" applyFill="1" applyBorder="1" applyAlignment="1">
      <alignment horizontal="center" vertical="center"/>
    </xf>
    <xf numFmtId="1" fontId="3" fillId="0" borderId="50" xfId="0" applyNumberFormat="1" applyFont="1" applyBorder="1" applyAlignment="1">
      <alignment horizontal="center" vertical="center"/>
    </xf>
    <xf numFmtId="0" fontId="4" fillId="3" borderId="44" xfId="0" applyFont="1" applyFill="1" applyBorder="1"/>
    <xf numFmtId="0" fontId="3" fillId="0" borderId="44" xfId="0" applyFont="1" applyBorder="1"/>
    <xf numFmtId="2" fontId="9" fillId="0" borderId="51" xfId="0" applyNumberFormat="1" applyFont="1" applyBorder="1" applyAlignment="1">
      <alignment horizontal="center" vertical="center"/>
    </xf>
    <xf numFmtId="2" fontId="4" fillId="0" borderId="2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3" borderId="29" xfId="0" applyNumberFormat="1" applyFont="1" applyFill="1" applyBorder="1" applyAlignment="1">
      <alignment horizontal="center" vertical="center"/>
    </xf>
    <xf numFmtId="2" fontId="4" fillId="3" borderId="20" xfId="0" applyNumberFormat="1" applyFont="1" applyFill="1" applyBorder="1" applyAlignment="1">
      <alignment horizontal="center" vertical="center"/>
    </xf>
    <xf numFmtId="1" fontId="3" fillId="11" borderId="25" xfId="0" applyNumberFormat="1" applyFont="1" applyFill="1" applyBorder="1" applyAlignment="1">
      <alignment horizontal="center" vertical="center"/>
    </xf>
    <xf numFmtId="0" fontId="3" fillId="3" borderId="44" xfId="0" applyFont="1" applyFill="1" applyBorder="1"/>
    <xf numFmtId="164" fontId="3" fillId="3" borderId="43" xfId="0" applyNumberFormat="1" applyFont="1" applyFill="1" applyBorder="1" applyAlignment="1">
      <alignment horizontal="right" vertical="center"/>
    </xf>
    <xf numFmtId="2" fontId="4" fillId="3" borderId="9" xfId="0" applyNumberFormat="1" applyFont="1" applyFill="1" applyBorder="1" applyAlignment="1">
      <alignment horizontal="center" vertical="center"/>
    </xf>
    <xf numFmtId="2" fontId="4" fillId="9" borderId="21" xfId="0" applyNumberFormat="1" applyFont="1" applyFill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2" fontId="4" fillId="9" borderId="16" xfId="0" applyNumberFormat="1" applyFont="1" applyFill="1" applyBorder="1" applyAlignment="1">
      <alignment horizontal="center" vertical="center"/>
    </xf>
    <xf numFmtId="2" fontId="4" fillId="9" borderId="31" xfId="0" applyNumberFormat="1" applyFont="1" applyFill="1" applyBorder="1" applyAlignment="1">
      <alignment horizontal="center" vertical="center"/>
    </xf>
    <xf numFmtId="2" fontId="4" fillId="0" borderId="33" xfId="0" applyNumberFormat="1" applyFont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2" fontId="4" fillId="9" borderId="30" xfId="0" applyNumberFormat="1" applyFont="1" applyFill="1" applyBorder="1" applyAlignment="1">
      <alignment horizontal="center" vertical="center"/>
    </xf>
    <xf numFmtId="2" fontId="4" fillId="9" borderId="37" xfId="0" applyNumberFormat="1" applyFont="1" applyFill="1" applyBorder="1" applyAlignment="1">
      <alignment horizontal="center" vertical="center"/>
    </xf>
    <xf numFmtId="2" fontId="7" fillId="8" borderId="3" xfId="0" applyNumberFormat="1" applyFont="1" applyFill="1" applyBorder="1" applyAlignment="1">
      <alignment horizontal="right" vertical="center"/>
    </xf>
    <xf numFmtId="1" fontId="8" fillId="0" borderId="0" xfId="0" applyNumberFormat="1" applyFont="1"/>
    <xf numFmtId="1" fontId="3" fillId="11" borderId="24" xfId="0" applyNumberFormat="1" applyFont="1" applyFill="1" applyBorder="1" applyAlignment="1">
      <alignment horizontal="center" vertical="center"/>
    </xf>
    <xf numFmtId="1" fontId="3" fillId="11" borderId="26" xfId="0" applyNumberFormat="1" applyFont="1" applyFill="1" applyBorder="1" applyAlignment="1">
      <alignment horizontal="center" vertical="center"/>
    </xf>
    <xf numFmtId="1" fontId="3" fillId="11" borderId="32" xfId="0" applyNumberFormat="1" applyFont="1" applyFill="1" applyBorder="1" applyAlignment="1">
      <alignment horizontal="center" vertical="center"/>
    </xf>
    <xf numFmtId="1" fontId="3" fillId="11" borderId="34" xfId="0" applyNumberFormat="1" applyFont="1" applyFill="1" applyBorder="1" applyAlignment="1">
      <alignment horizontal="center" vertical="center"/>
    </xf>
    <xf numFmtId="1" fontId="3" fillId="11" borderId="39" xfId="0" applyNumberFormat="1" applyFont="1" applyFill="1" applyBorder="1" applyAlignment="1">
      <alignment horizontal="center" vertical="center"/>
    </xf>
    <xf numFmtId="1" fontId="3" fillId="2" borderId="55" xfId="0" applyNumberFormat="1" applyFont="1" applyFill="1" applyBorder="1" applyAlignment="1">
      <alignment horizontal="center" vertical="center"/>
    </xf>
    <xf numFmtId="1" fontId="3" fillId="11" borderId="56" xfId="0" applyNumberFormat="1" applyFont="1" applyFill="1" applyBorder="1" applyAlignment="1">
      <alignment horizontal="center" vertical="center"/>
    </xf>
    <xf numFmtId="1" fontId="3" fillId="11" borderId="57" xfId="0" applyNumberFormat="1" applyFont="1" applyFill="1" applyBorder="1" applyAlignment="1">
      <alignment horizontal="center" vertical="center"/>
    </xf>
    <xf numFmtId="1" fontId="3" fillId="11" borderId="58" xfId="0" applyNumberFormat="1" applyFont="1" applyFill="1" applyBorder="1" applyAlignment="1">
      <alignment horizontal="center" vertical="center"/>
    </xf>
    <xf numFmtId="1" fontId="3" fillId="11" borderId="59" xfId="0" applyNumberFormat="1" applyFont="1" applyFill="1" applyBorder="1" applyAlignment="1">
      <alignment horizontal="center" vertical="center"/>
    </xf>
    <xf numFmtId="1" fontId="3" fillId="11" borderId="60" xfId="0" applyNumberFormat="1" applyFont="1" applyFill="1" applyBorder="1" applyAlignment="1">
      <alignment horizontal="center" vertical="center"/>
    </xf>
    <xf numFmtId="1" fontId="3" fillId="11" borderId="61" xfId="0" applyNumberFormat="1" applyFont="1" applyFill="1" applyBorder="1" applyAlignment="1">
      <alignment horizontal="center" vertical="center"/>
    </xf>
    <xf numFmtId="2" fontId="3" fillId="0" borderId="54" xfId="0" applyNumberFormat="1" applyFont="1" applyBorder="1" applyAlignment="1">
      <alignment horizontal="right" vertical="center"/>
    </xf>
    <xf numFmtId="1" fontId="3" fillId="8" borderId="4" xfId="0" applyNumberFormat="1" applyFont="1" applyFill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 vertical="center"/>
    </xf>
    <xf numFmtId="2" fontId="8" fillId="0" borderId="0" xfId="0" applyNumberFormat="1" applyFont="1"/>
    <xf numFmtId="2" fontId="16" fillId="3" borderId="7" xfId="0" applyNumberFormat="1" applyFont="1" applyFill="1" applyBorder="1" applyAlignment="1">
      <alignment horizontal="center" vertical="center"/>
    </xf>
    <xf numFmtId="1" fontId="3" fillId="8" borderId="2" xfId="0" applyNumberFormat="1" applyFont="1" applyFill="1" applyBorder="1" applyAlignment="1">
      <alignment horizontal="center" vertical="center"/>
    </xf>
    <xf numFmtId="0" fontId="13" fillId="3" borderId="44" xfId="0" applyFont="1" applyFill="1" applyBorder="1"/>
    <xf numFmtId="2" fontId="3" fillId="3" borderId="6" xfId="0" applyNumberFormat="1" applyFont="1" applyFill="1" applyBorder="1" applyAlignment="1">
      <alignment horizontal="right" vertical="center"/>
    </xf>
    <xf numFmtId="2" fontId="3" fillId="8" borderId="63" xfId="0" applyNumberFormat="1" applyFont="1" applyFill="1" applyBorder="1" applyAlignment="1">
      <alignment horizontal="left" vertical="center"/>
    </xf>
    <xf numFmtId="2" fontId="5" fillId="0" borderId="7" xfId="0" applyNumberFormat="1" applyFont="1" applyBorder="1" applyAlignment="1">
      <alignment vertical="center"/>
    </xf>
    <xf numFmtId="2" fontId="4" fillId="8" borderId="44" xfId="0" applyNumberFormat="1" applyFont="1" applyFill="1" applyBorder="1" applyAlignment="1">
      <alignment horizontal="right" vertical="center"/>
    </xf>
    <xf numFmtId="2" fontId="4" fillId="8" borderId="45" xfId="0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0" fontId="20" fillId="3" borderId="0" xfId="0" applyFont="1" applyFill="1"/>
    <xf numFmtId="2" fontId="19" fillId="8" borderId="0" xfId="0" applyNumberFormat="1" applyFont="1" applyFill="1" applyAlignment="1">
      <alignment horizontal="center" vertical="center"/>
    </xf>
    <xf numFmtId="2" fontId="14" fillId="0" borderId="0" xfId="0" applyNumberFormat="1" applyFont="1"/>
    <xf numFmtId="1" fontId="15" fillId="0" borderId="0" xfId="0" applyNumberFormat="1" applyFont="1"/>
    <xf numFmtId="2" fontId="15" fillId="0" borderId="0" xfId="0" applyNumberFormat="1" applyFont="1"/>
    <xf numFmtId="2" fontId="17" fillId="0" borderId="0" xfId="0" applyNumberFormat="1" applyFont="1"/>
    <xf numFmtId="2" fontId="4" fillId="3" borderId="67" xfId="0" applyNumberFormat="1" applyFont="1" applyFill="1" applyBorder="1" applyAlignment="1">
      <alignment horizontal="center" vertical="center"/>
    </xf>
    <xf numFmtId="2" fontId="4" fillId="3" borderId="33" xfId="0" applyNumberFormat="1" applyFont="1" applyFill="1" applyBorder="1" applyAlignment="1">
      <alignment horizontal="center" vertical="center"/>
    </xf>
    <xf numFmtId="2" fontId="16" fillId="3" borderId="0" xfId="0" applyNumberFormat="1" applyFont="1" applyFill="1" applyAlignment="1">
      <alignment horizontal="center" vertical="center"/>
    </xf>
    <xf numFmtId="1" fontId="17" fillId="0" borderId="0" xfId="0" applyNumberFormat="1" applyFont="1"/>
    <xf numFmtId="2" fontId="19" fillId="3" borderId="0" xfId="0" applyNumberFormat="1" applyFont="1" applyFill="1" applyAlignment="1">
      <alignment horizontal="center" vertical="center"/>
    </xf>
    <xf numFmtId="1" fontId="23" fillId="0" borderId="0" xfId="0" applyNumberFormat="1" applyFont="1" applyAlignment="1">
      <alignment vertical="center"/>
    </xf>
    <xf numFmtId="2" fontId="4" fillId="3" borderId="49" xfId="0" applyNumberFormat="1" applyFont="1" applyFill="1" applyBorder="1"/>
    <xf numFmtId="0" fontId="14" fillId="3" borderId="0" xfId="0" applyFont="1" applyFill="1"/>
    <xf numFmtId="2" fontId="4" fillId="0" borderId="25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4" fontId="16" fillId="3" borderId="7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8" fillId="0" borderId="0" xfId="0" applyNumberFormat="1" applyFont="1" applyAlignment="1">
      <alignment wrapText="1"/>
    </xf>
    <xf numFmtId="2" fontId="16" fillId="3" borderId="7" xfId="0" applyNumberFormat="1" applyFont="1" applyFill="1" applyBorder="1" applyAlignment="1">
      <alignment horizontal="center" vertical="center" wrapText="1"/>
    </xf>
    <xf numFmtId="0" fontId="21" fillId="3" borderId="0" xfId="0" applyFont="1" applyFill="1"/>
    <xf numFmtId="2" fontId="25" fillId="3" borderId="29" xfId="0" applyNumberFormat="1" applyFont="1" applyFill="1" applyBorder="1" applyAlignment="1">
      <alignment horizontal="center" vertical="center"/>
    </xf>
    <xf numFmtId="2" fontId="4" fillId="3" borderId="45" xfId="0" applyNumberFormat="1" applyFont="1" applyFill="1" applyBorder="1"/>
    <xf numFmtId="2" fontId="3" fillId="5" borderId="27" xfId="0" applyNumberFormat="1" applyFont="1" applyFill="1" applyBorder="1" applyAlignment="1">
      <alignment horizontal="right" vertical="center"/>
    </xf>
    <xf numFmtId="2" fontId="9" fillId="4" borderId="21" xfId="0" applyNumberFormat="1" applyFont="1" applyFill="1" applyBorder="1" applyAlignment="1">
      <alignment horizontal="right" vertical="center"/>
    </xf>
    <xf numFmtId="167" fontId="0" fillId="0" borderId="0" xfId="0" applyNumberFormat="1"/>
    <xf numFmtId="2" fontId="25" fillId="3" borderId="33" xfId="0" applyNumberFormat="1" applyFont="1" applyFill="1" applyBorder="1" applyAlignment="1">
      <alignment horizontal="center" vertical="center"/>
    </xf>
    <xf numFmtId="2" fontId="4" fillId="10" borderId="20" xfId="0" applyNumberFormat="1" applyFont="1" applyFill="1" applyBorder="1" applyAlignment="1">
      <alignment horizontal="center" vertical="center"/>
    </xf>
    <xf numFmtId="2" fontId="25" fillId="0" borderId="20" xfId="0" applyNumberFormat="1" applyFont="1" applyBorder="1" applyAlignment="1">
      <alignment horizontal="center" vertical="center"/>
    </xf>
    <xf numFmtId="2" fontId="25" fillId="3" borderId="20" xfId="0" applyNumberFormat="1" applyFont="1" applyFill="1" applyBorder="1" applyAlignment="1">
      <alignment horizontal="center" vertical="center"/>
    </xf>
    <xf numFmtId="2" fontId="4" fillId="3" borderId="23" xfId="0" applyNumberFormat="1" applyFont="1" applyFill="1" applyBorder="1" applyAlignment="1">
      <alignment horizontal="center" vertical="center"/>
    </xf>
    <xf numFmtId="2" fontId="25" fillId="3" borderId="23" xfId="0" applyNumberFormat="1" applyFont="1" applyFill="1" applyBorder="1" applyAlignment="1">
      <alignment horizontal="center" vertical="center"/>
    </xf>
    <xf numFmtId="2" fontId="27" fillId="3" borderId="20" xfId="0" applyNumberFormat="1" applyFont="1" applyFill="1" applyBorder="1" applyAlignment="1">
      <alignment horizontal="center" vertical="center"/>
    </xf>
    <xf numFmtId="4" fontId="16" fillId="3" borderId="0" xfId="0" applyNumberFormat="1" applyFont="1" applyFill="1" applyAlignment="1">
      <alignment horizontal="center" vertical="center"/>
    </xf>
    <xf numFmtId="2" fontId="25" fillId="9" borderId="21" xfId="0" applyNumberFormat="1" applyFont="1" applyFill="1" applyBorder="1" applyAlignment="1">
      <alignment horizontal="center" vertical="center"/>
    </xf>
    <xf numFmtId="2" fontId="25" fillId="9" borderId="37" xfId="0" applyNumberFormat="1" applyFont="1" applyFill="1" applyBorder="1" applyAlignment="1">
      <alignment horizontal="center" vertical="center"/>
    </xf>
    <xf numFmtId="0" fontId="4" fillId="3" borderId="76" xfId="0" applyFont="1" applyFill="1" applyBorder="1"/>
    <xf numFmtId="2" fontId="4" fillId="3" borderId="76" xfId="0" applyNumberFormat="1" applyFont="1" applyFill="1" applyBorder="1"/>
    <xf numFmtId="0" fontId="24" fillId="3" borderId="44" xfId="0" applyFont="1" applyFill="1" applyBorder="1" applyAlignment="1">
      <alignment horizontal="left" vertical="center" wrapText="1"/>
    </xf>
    <xf numFmtId="0" fontId="9" fillId="3" borderId="44" xfId="0" applyFont="1" applyFill="1" applyBorder="1"/>
    <xf numFmtId="2" fontId="4" fillId="0" borderId="37" xfId="0" applyNumberFormat="1" applyFont="1" applyBorder="1" applyAlignment="1">
      <alignment horizontal="center" vertical="center"/>
    </xf>
    <xf numFmtId="164" fontId="4" fillId="3" borderId="49" xfId="0" applyNumberFormat="1" applyFont="1" applyFill="1" applyBorder="1" applyAlignment="1">
      <alignment horizontal="right" vertical="center"/>
    </xf>
    <xf numFmtId="1" fontId="26" fillId="13" borderId="25" xfId="0" applyNumberFormat="1" applyFont="1" applyFill="1" applyBorder="1" applyAlignment="1">
      <alignment horizontal="center" vertical="center"/>
    </xf>
    <xf numFmtId="2" fontId="26" fillId="13" borderId="20" xfId="0" applyNumberFormat="1" applyFont="1" applyFill="1" applyBorder="1" applyAlignment="1">
      <alignment horizontal="center" vertical="center"/>
    </xf>
    <xf numFmtId="2" fontId="15" fillId="12" borderId="0" xfId="0" applyNumberFormat="1" applyFont="1" applyFill="1"/>
    <xf numFmtId="4" fontId="3" fillId="3" borderId="7" xfId="0" applyNumberFormat="1" applyFont="1" applyFill="1" applyBorder="1" applyAlignment="1">
      <alignment horizontal="center" vertical="center"/>
    </xf>
    <xf numFmtId="4" fontId="30" fillId="3" borderId="7" xfId="0" applyNumberFormat="1" applyFont="1" applyFill="1" applyBorder="1" applyAlignment="1">
      <alignment horizontal="center" vertical="center"/>
    </xf>
    <xf numFmtId="4" fontId="30" fillId="3" borderId="5" xfId="0" applyNumberFormat="1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vertical="center" wrapText="1"/>
    </xf>
    <xf numFmtId="0" fontId="24" fillId="3" borderId="2" xfId="0" applyFont="1" applyFill="1" applyBorder="1" applyAlignment="1">
      <alignment horizontal="center" vertical="center" wrapText="1"/>
    </xf>
    <xf numFmtId="167" fontId="28" fillId="3" borderId="69" xfId="0" applyNumberFormat="1" applyFont="1" applyFill="1" applyBorder="1"/>
    <xf numFmtId="168" fontId="33" fillId="3" borderId="69" xfId="0" applyNumberFormat="1" applyFont="1" applyFill="1" applyBorder="1"/>
    <xf numFmtId="0" fontId="15" fillId="3" borderId="70" xfId="0" applyFont="1" applyFill="1" applyBorder="1"/>
    <xf numFmtId="4" fontId="4" fillId="3" borderId="7" xfId="0" applyNumberFormat="1" applyFont="1" applyFill="1" applyBorder="1" applyAlignment="1">
      <alignment horizontal="center" vertical="center"/>
    </xf>
    <xf numFmtId="4" fontId="4" fillId="3" borderId="5" xfId="0" applyNumberFormat="1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vertical="center" wrapText="1"/>
    </xf>
    <xf numFmtId="164" fontId="4" fillId="3" borderId="83" xfId="0" applyNumberFormat="1" applyFont="1" applyFill="1" applyBorder="1" applyAlignment="1">
      <alignment horizontal="right" vertical="center"/>
    </xf>
    <xf numFmtId="164" fontId="4" fillId="3" borderId="82" xfId="0" applyNumberFormat="1" applyFont="1" applyFill="1" applyBorder="1" applyAlignment="1">
      <alignment horizontal="right" vertical="center"/>
    </xf>
    <xf numFmtId="1" fontId="3" fillId="5" borderId="24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2" fontId="3" fillId="5" borderId="20" xfId="0" applyNumberFormat="1" applyFont="1" applyFill="1" applyBorder="1" applyAlignment="1">
      <alignment horizontal="center" vertical="center"/>
    </xf>
    <xf numFmtId="1" fontId="3" fillId="5" borderId="25" xfId="0" applyNumberFormat="1" applyFont="1" applyFill="1" applyBorder="1" applyAlignment="1">
      <alignment horizontal="center" vertical="center"/>
    </xf>
    <xf numFmtId="1" fontId="3" fillId="5" borderId="61" xfId="0" applyNumberFormat="1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5" borderId="30" xfId="0" applyNumberFormat="1" applyFont="1" applyFill="1" applyBorder="1" applyAlignment="1">
      <alignment horizontal="center" vertical="center"/>
    </xf>
    <xf numFmtId="2" fontId="4" fillId="5" borderId="37" xfId="0" applyNumberFormat="1" applyFont="1" applyFill="1" applyBorder="1" applyAlignment="1">
      <alignment horizontal="center" vertical="center"/>
    </xf>
    <xf numFmtId="2" fontId="4" fillId="3" borderId="75" xfId="0" applyNumberFormat="1" applyFont="1" applyFill="1" applyBorder="1"/>
    <xf numFmtId="2" fontId="4" fillId="3" borderId="77" xfId="0" applyNumberFormat="1" applyFont="1" applyFill="1" applyBorder="1"/>
    <xf numFmtId="2" fontId="36" fillId="0" borderId="25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2" fontId="34" fillId="0" borderId="25" xfId="0" applyNumberFormat="1" applyFont="1" applyBorder="1" applyAlignment="1">
      <alignment horizontal="center" vertical="center"/>
    </xf>
    <xf numFmtId="2" fontId="38" fillId="12" borderId="0" xfId="0" applyNumberFormat="1" applyFont="1" applyFill="1"/>
    <xf numFmtId="4" fontId="37" fillId="3" borderId="7" xfId="0" applyNumberFormat="1" applyFont="1" applyFill="1" applyBorder="1" applyAlignment="1">
      <alignment horizontal="center" vertical="center"/>
    </xf>
    <xf numFmtId="2" fontId="3" fillId="3" borderId="67" xfId="0" applyNumberFormat="1" applyFont="1" applyFill="1" applyBorder="1" applyAlignment="1">
      <alignment horizontal="center" vertical="center"/>
    </xf>
    <xf numFmtId="2" fontId="3" fillId="3" borderId="33" xfId="0" applyNumberFormat="1" applyFont="1" applyFill="1" applyBorder="1" applyAlignment="1">
      <alignment horizontal="center" vertical="center"/>
    </xf>
    <xf numFmtId="0" fontId="39" fillId="3" borderId="72" xfId="0" applyFont="1" applyFill="1" applyBorder="1" applyAlignment="1">
      <alignment horizontal="center" vertical="center"/>
    </xf>
    <xf numFmtId="0" fontId="33" fillId="3" borderId="73" xfId="0" applyFont="1" applyFill="1" applyBorder="1" applyAlignment="1">
      <alignment horizontal="center" vertical="center"/>
    </xf>
    <xf numFmtId="1" fontId="32" fillId="3" borderId="74" xfId="0" applyNumberFormat="1" applyFont="1" applyFill="1" applyBorder="1" applyAlignment="1">
      <alignment horizontal="center" vertical="center"/>
    </xf>
    <xf numFmtId="0" fontId="38" fillId="3" borderId="78" xfId="0" applyFont="1" applyFill="1" applyBorder="1"/>
    <xf numFmtId="0" fontId="15" fillId="3" borderId="13" xfId="0" applyFont="1" applyFill="1" applyBorder="1"/>
    <xf numFmtId="0" fontId="18" fillId="3" borderId="81" xfId="0" applyFont="1" applyFill="1" applyBorder="1"/>
    <xf numFmtId="1" fontId="15" fillId="3" borderId="71" xfId="0" applyNumberFormat="1" applyFont="1" applyFill="1" applyBorder="1"/>
    <xf numFmtId="2" fontId="8" fillId="3" borderId="71" xfId="0" applyNumberFormat="1" applyFont="1" applyFill="1" applyBorder="1"/>
    <xf numFmtId="0" fontId="15" fillId="3" borderId="71" xfId="0" applyFont="1" applyFill="1" applyBorder="1"/>
    <xf numFmtId="0" fontId="39" fillId="3" borderId="78" xfId="0" applyFont="1" applyFill="1" applyBorder="1" applyAlignment="1">
      <alignment horizontal="center" vertical="center"/>
    </xf>
    <xf numFmtId="1" fontId="32" fillId="3" borderId="81" xfId="0" applyNumberFormat="1" applyFont="1" applyFill="1" applyBorder="1" applyAlignment="1">
      <alignment horizontal="center" vertical="center"/>
    </xf>
    <xf numFmtId="2" fontId="4" fillId="0" borderId="24" xfId="0" applyNumberFormat="1" applyFont="1" applyBorder="1" applyAlignment="1">
      <alignment horizontal="center" vertical="center"/>
    </xf>
    <xf numFmtId="0" fontId="2" fillId="3" borderId="44" xfId="0" applyFont="1" applyFill="1" applyBorder="1"/>
    <xf numFmtId="2" fontId="4" fillId="3" borderId="53" xfId="0" applyNumberFormat="1" applyFont="1" applyFill="1" applyBorder="1"/>
    <xf numFmtId="0" fontId="29" fillId="3" borderId="49" xfId="0" applyFont="1" applyFill="1" applyBorder="1" applyAlignment="1">
      <alignment wrapText="1"/>
    </xf>
    <xf numFmtId="1" fontId="3" fillId="5" borderId="39" xfId="0" applyNumberFormat="1" applyFont="1" applyFill="1" applyBorder="1" applyAlignment="1">
      <alignment horizontal="center" vertical="center"/>
    </xf>
    <xf numFmtId="2" fontId="3" fillId="14" borderId="7" xfId="0" applyNumberFormat="1" applyFont="1" applyFill="1" applyBorder="1" applyAlignment="1">
      <alignment horizontal="center" vertical="center"/>
    </xf>
    <xf numFmtId="2" fontId="3" fillId="14" borderId="20" xfId="0" applyNumberFormat="1" applyFont="1" applyFill="1" applyBorder="1" applyAlignment="1">
      <alignment horizontal="center" vertical="center"/>
    </xf>
    <xf numFmtId="1" fontId="40" fillId="0" borderId="0" xfId="0" applyNumberFormat="1" applyFont="1"/>
    <xf numFmtId="1" fontId="3" fillId="8" borderId="2" xfId="0" applyNumberFormat="1" applyFont="1" applyFill="1" applyBorder="1" applyAlignment="1">
      <alignment horizontal="center" vertical="center"/>
    </xf>
    <xf numFmtId="2" fontId="11" fillId="3" borderId="0" xfId="0" applyNumberFormat="1" applyFont="1" applyFill="1" applyAlignment="1">
      <alignment horizontal="center" vertical="center"/>
    </xf>
    <xf numFmtId="1" fontId="3" fillId="5" borderId="63" xfId="0" applyNumberFormat="1" applyFont="1" applyFill="1" applyBorder="1" applyAlignment="1">
      <alignment horizontal="center" vertical="center"/>
    </xf>
    <xf numFmtId="1" fontId="3" fillId="5" borderId="64" xfId="0" applyNumberFormat="1" applyFont="1" applyFill="1" applyBorder="1" applyAlignment="1">
      <alignment horizontal="center" vertical="center"/>
    </xf>
    <xf numFmtId="1" fontId="3" fillId="8" borderId="63" xfId="0" applyNumberFormat="1" applyFont="1" applyFill="1" applyBorder="1" applyAlignment="1">
      <alignment horizontal="center" vertical="center"/>
    </xf>
    <xf numFmtId="1" fontId="3" fillId="8" borderId="64" xfId="0" applyNumberFormat="1" applyFont="1" applyFill="1" applyBorder="1" applyAlignment="1">
      <alignment horizontal="center" vertical="center"/>
    </xf>
    <xf numFmtId="1" fontId="3" fillId="8" borderId="68" xfId="0" applyNumberFormat="1" applyFont="1" applyFill="1" applyBorder="1" applyAlignment="1">
      <alignment horizontal="center" vertical="center"/>
    </xf>
    <xf numFmtId="0" fontId="31" fillId="3" borderId="79" xfId="0" applyFont="1" applyFill="1" applyBorder="1" applyAlignment="1">
      <alignment horizontal="center" vertical="center"/>
    </xf>
    <xf numFmtId="0" fontId="31" fillId="3" borderId="73" xfId="0" applyFont="1" applyFill="1" applyBorder="1" applyAlignment="1">
      <alignment horizontal="center" vertical="center"/>
    </xf>
    <xf numFmtId="0" fontId="31" fillId="3" borderId="74" xfId="0" applyFont="1" applyFill="1" applyBorder="1" applyAlignment="1">
      <alignment horizontal="center" vertical="center"/>
    </xf>
    <xf numFmtId="0" fontId="31" fillId="3" borderId="8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31" fillId="3" borderId="81" xfId="0" applyFont="1" applyFill="1" applyBorder="1" applyAlignment="1">
      <alignment horizontal="center" vertical="center"/>
    </xf>
    <xf numFmtId="2" fontId="17" fillId="3" borderId="62" xfId="0" applyNumberFormat="1" applyFont="1" applyFill="1" applyBorder="1" applyAlignment="1">
      <alignment horizontal="center" vertical="center"/>
    </xf>
    <xf numFmtId="0" fontId="20" fillId="3" borderId="0" xfId="0" applyFont="1" applyFill="1" applyAlignment="1">
      <alignment horizontal="left"/>
    </xf>
    <xf numFmtId="0" fontId="17" fillId="3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21" fillId="3" borderId="0" xfId="0" applyFont="1" applyFill="1" applyAlignment="1">
      <alignment horizontal="center"/>
    </xf>
    <xf numFmtId="2" fontId="14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1" fontId="23" fillId="0" borderId="0" xfId="0" applyNumberFormat="1" applyFont="1" applyAlignment="1">
      <alignment vertical="center"/>
    </xf>
    <xf numFmtId="1" fontId="3" fillId="8" borderId="65" xfId="0" applyNumberFormat="1" applyFont="1" applyFill="1" applyBorder="1" applyAlignment="1">
      <alignment horizontal="center" vertical="center"/>
    </xf>
    <xf numFmtId="1" fontId="3" fillId="5" borderId="65" xfId="0" applyNumberFormat="1" applyFont="1" applyFill="1" applyBorder="1" applyAlignment="1">
      <alignment horizontal="center" vertical="center"/>
    </xf>
    <xf numFmtId="1" fontId="3" fillId="8" borderId="66" xfId="0" applyNumberFormat="1" applyFont="1" applyFill="1" applyBorder="1" applyAlignment="1">
      <alignment horizontal="center" vertical="center"/>
    </xf>
    <xf numFmtId="1" fontId="26" fillId="13" borderId="63" xfId="0" applyNumberFormat="1" applyFont="1" applyFill="1" applyBorder="1" applyAlignment="1">
      <alignment horizontal="center" vertical="center"/>
    </xf>
    <xf numFmtId="1" fontId="26" fillId="13" borderId="64" xfId="0" applyNumberFormat="1" applyFont="1" applyFill="1" applyBorder="1" applyAlignment="1">
      <alignment horizontal="center" vertical="center"/>
    </xf>
    <xf numFmtId="1" fontId="26" fillId="13" borderId="65" xfId="0" applyNumberFormat="1" applyFont="1" applyFill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2" fontId="15" fillId="3" borderId="0" xfId="0" applyNumberFormat="1" applyFont="1" applyFill="1"/>
    <xf numFmtId="2" fontId="38" fillId="3" borderId="0" xfId="0" applyNumberFormat="1" applyFont="1" applyFill="1"/>
    <xf numFmtId="1" fontId="3" fillId="3" borderId="1" xfId="0" applyNumberFormat="1" applyFont="1" applyFill="1" applyBorder="1" applyAlignment="1">
      <alignment horizontal="center" vertical="center"/>
    </xf>
    <xf numFmtId="1" fontId="35" fillId="3" borderId="4" xfId="0" applyNumberFormat="1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center" vertical="center" wrapText="1"/>
    </xf>
    <xf numFmtId="2" fontId="37" fillId="3" borderId="4" xfId="0" applyNumberFormat="1" applyFont="1" applyFill="1" applyBorder="1" applyAlignment="1">
      <alignment horizontal="center" vertical="center" wrapText="1"/>
    </xf>
    <xf numFmtId="1" fontId="41" fillId="3" borderId="4" xfId="0" applyNumberFormat="1" applyFont="1" applyFill="1" applyBorder="1" applyAlignment="1">
      <alignment horizontal="center" vertical="center" wrapText="1"/>
    </xf>
    <xf numFmtId="2" fontId="4" fillId="3" borderId="25" xfId="0" applyNumberFormat="1" applyFont="1" applyFill="1" applyBorder="1" applyAlignment="1">
      <alignment horizontal="center" vertical="center"/>
    </xf>
    <xf numFmtId="2" fontId="36" fillId="3" borderId="25" xfId="0" applyNumberFormat="1" applyFont="1" applyFill="1" applyBorder="1" applyAlignment="1">
      <alignment horizontal="center" vertical="center"/>
    </xf>
    <xf numFmtId="4" fontId="30" fillId="3" borderId="25" xfId="0" applyNumberFormat="1" applyFont="1" applyFill="1" applyBorder="1" applyAlignment="1">
      <alignment horizontal="center" vertical="center"/>
    </xf>
    <xf numFmtId="4" fontId="3" fillId="3" borderId="25" xfId="0" applyNumberFormat="1" applyFont="1" applyFill="1" applyBorder="1" applyAlignment="1">
      <alignment horizontal="center" vertical="center"/>
    </xf>
    <xf numFmtId="4" fontId="37" fillId="3" borderId="25" xfId="0" applyNumberFormat="1" applyFont="1" applyFill="1" applyBorder="1" applyAlignment="1">
      <alignment horizontal="center" vertical="center"/>
    </xf>
    <xf numFmtId="2" fontId="3" fillId="3" borderId="25" xfId="0" applyNumberFormat="1" applyFont="1" applyFill="1" applyBorder="1" applyAlignment="1">
      <alignment horizontal="center" vertical="center"/>
    </xf>
    <xf numFmtId="2" fontId="37" fillId="3" borderId="25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6" fillId="3" borderId="28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10 2" xfId="3" xr:uid="{00000000-0005-0000-0000-000001000000}"/>
    <cellStyle name="Normal 2 12" xfId="4" xr:uid="{00000000-0005-0000-0000-000002000000}"/>
    <cellStyle name="Normal 2 2" xfId="1" xr:uid="{00000000-0005-0000-0000-000003000000}"/>
    <cellStyle name="Normal 71" xfId="2" xr:uid="{00000000-0005-0000-0000-000004000000}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0000CC"/>
      <color rgb="FFFFFFCC"/>
      <color rgb="FFFFFF99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4.png@01D93495.7F7A192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142687</xdr:colOff>
      <xdr:row>0</xdr:row>
      <xdr:rowOff>126998</xdr:rowOff>
    </xdr:from>
    <xdr:to>
      <xdr:col>15</xdr:col>
      <xdr:colOff>583406</xdr:colOff>
      <xdr:row>4</xdr:row>
      <xdr:rowOff>0</xdr:rowOff>
    </xdr:to>
    <xdr:pic>
      <xdr:nvPicPr>
        <xdr:cNvPr id="3" name="Picture 21" descr="cid:image004.png@01D93495.7F7A192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6968" y="126998"/>
          <a:ext cx="1083657" cy="89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388"/>
  <sheetViews>
    <sheetView tabSelected="1" view="pageBreakPreview" zoomScale="80" zoomScaleNormal="100" zoomScaleSheetLayoutView="80" workbookViewId="0"/>
  </sheetViews>
  <sheetFormatPr defaultColWidth="9.140625" defaultRowHeight="12.75" x14ac:dyDescent="0.2"/>
  <cols>
    <col min="1" max="1" width="19" style="89" bestFit="1" customWidth="1"/>
    <col min="2" max="2" width="10.28515625" style="89" bestFit="1" customWidth="1"/>
    <col min="3" max="3" width="23.42578125" style="89" customWidth="1"/>
    <col min="4" max="5" width="29.42578125" style="89" customWidth="1"/>
    <col min="6" max="6" width="15.5703125" style="89" bestFit="1" customWidth="1"/>
    <col min="7" max="7" width="10.5703125" style="160" bestFit="1" customWidth="1"/>
    <col min="8" max="8" width="12.7109375" style="188" bestFit="1" customWidth="1"/>
    <col min="9" max="9" width="7.7109375" style="160" bestFit="1" customWidth="1"/>
    <col min="10" max="10" width="10.28515625" style="128" bestFit="1" customWidth="1"/>
    <col min="11" max="11" width="9.140625" style="10" bestFit="1" customWidth="1"/>
    <col min="12" max="12" width="14" bestFit="1" customWidth="1"/>
    <col min="13" max="13" width="3.42578125" style="12" customWidth="1"/>
    <col min="14" max="14" width="5" style="12" customWidth="1"/>
    <col min="15" max="15" width="6.28515625" style="10" customWidth="1"/>
    <col min="16" max="17" width="8.85546875" style="10" bestFit="1" customWidth="1"/>
    <col min="18" max="18" width="4.85546875" style="12" customWidth="1"/>
    <col min="19" max="19" width="4.140625" style="12" customWidth="1"/>
    <col min="20" max="20" width="7.28515625" style="10" customWidth="1"/>
    <col min="21" max="21" width="8.42578125" style="10" customWidth="1"/>
    <col min="22" max="22" width="10" style="10" bestFit="1" customWidth="1"/>
    <col min="23" max="23" width="4.85546875" style="12" customWidth="1"/>
    <col min="24" max="24" width="4" style="12" customWidth="1"/>
    <col min="25" max="25" width="6.7109375" style="10" customWidth="1"/>
    <col min="26" max="27" width="8.85546875" style="10" customWidth="1"/>
    <col min="28" max="28" width="4.5703125" style="10" customWidth="1"/>
    <col min="29" max="29" width="5" style="10" customWidth="1"/>
    <col min="30" max="30" width="6.140625" style="10" customWidth="1"/>
    <col min="31" max="31" width="8.42578125" style="10" customWidth="1"/>
    <col min="32" max="32" width="10" style="10" bestFit="1" customWidth="1"/>
    <col min="33" max="33" width="4.5703125" style="10" customWidth="1"/>
    <col min="34" max="34" width="5" style="10" customWidth="1"/>
    <col min="35" max="35" width="6.7109375" style="10" customWidth="1"/>
    <col min="36" max="36" width="8.28515625" style="10" customWidth="1"/>
    <col min="37" max="37" width="9.7109375" style="10" customWidth="1"/>
    <col min="38" max="38" width="4.42578125" style="12" customWidth="1"/>
    <col min="39" max="39" width="5" style="12" customWidth="1"/>
    <col min="40" max="40" width="7.42578125" style="10" customWidth="1"/>
    <col min="41" max="41" width="9.5703125" style="10" customWidth="1"/>
    <col min="42" max="42" width="9.7109375" style="10" customWidth="1"/>
    <col min="43" max="44" width="7.85546875" style="10" customWidth="1"/>
    <col min="45" max="45" width="10.140625" style="10" customWidth="1"/>
    <col min="46" max="46" width="10" style="10" customWidth="1"/>
    <col min="47" max="47" width="9.28515625" customWidth="1"/>
    <col min="48" max="48" width="115.140625" customWidth="1"/>
    <col min="49" max="49" width="15.140625" style="32" bestFit="1" customWidth="1"/>
    <col min="50" max="50" width="11.7109375" style="32" bestFit="1" customWidth="1"/>
    <col min="51" max="51" width="8.7109375" hidden="1" customWidth="1"/>
  </cols>
  <sheetData>
    <row r="1" spans="1:51" x14ac:dyDescent="0.2">
      <c r="G1" s="243"/>
      <c r="H1" s="244"/>
      <c r="I1" s="243"/>
      <c r="M1" s="22"/>
      <c r="N1" s="22"/>
      <c r="O1" s="23"/>
      <c r="P1" s="23"/>
      <c r="Q1" s="23"/>
      <c r="R1" s="22"/>
      <c r="S1" s="22"/>
      <c r="T1" s="23"/>
      <c r="U1" s="23"/>
      <c r="V1" s="23"/>
      <c r="W1" s="22"/>
      <c r="X1" s="22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2"/>
      <c r="AM1" s="22"/>
      <c r="AN1" s="23"/>
      <c r="AO1" s="23"/>
      <c r="AP1" s="23"/>
      <c r="AQ1" s="23"/>
      <c r="AR1" s="23"/>
      <c r="AS1" s="23"/>
      <c r="AT1" s="23"/>
      <c r="AU1" s="24"/>
      <c r="AV1" s="24"/>
      <c r="AW1" s="26"/>
      <c r="AX1" s="26"/>
      <c r="AY1" s="24"/>
    </row>
    <row r="2" spans="1:51" ht="30" customHeight="1" x14ac:dyDescent="0.2">
      <c r="G2" s="243"/>
      <c r="H2" s="244"/>
      <c r="I2" s="243"/>
      <c r="M2" s="22"/>
      <c r="N2" s="22"/>
      <c r="O2" s="23"/>
      <c r="P2" s="23"/>
      <c r="Q2" s="23"/>
      <c r="R2" s="22"/>
      <c r="S2" s="22"/>
      <c r="T2" s="23"/>
      <c r="U2" s="23"/>
      <c r="V2" s="231"/>
      <c r="W2" s="231"/>
      <c r="X2" s="231"/>
      <c r="Y2" s="231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2"/>
      <c r="AM2" s="22"/>
      <c r="AN2" s="23"/>
      <c r="AO2" s="23"/>
      <c r="AP2" s="23"/>
      <c r="AQ2" s="23"/>
      <c r="AR2" s="23"/>
      <c r="AS2" s="23"/>
      <c r="AT2" s="23"/>
      <c r="AU2" s="24"/>
      <c r="AV2" s="24"/>
      <c r="AW2" s="26"/>
      <c r="AX2" s="26"/>
      <c r="AY2" s="24"/>
    </row>
    <row r="3" spans="1:51" ht="18.75" x14ac:dyDescent="0.2">
      <c r="A3" s="218" t="s">
        <v>0</v>
      </c>
      <c r="B3" s="219"/>
      <c r="C3" s="219"/>
      <c r="D3" s="219"/>
      <c r="E3" s="219"/>
      <c r="F3" s="219"/>
      <c r="G3" s="220"/>
      <c r="H3" s="192"/>
      <c r="I3" s="193"/>
      <c r="J3" s="194"/>
      <c r="K3" s="224" t="s">
        <v>1</v>
      </c>
      <c r="L3" s="224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  <c r="AX3" s="232"/>
      <c r="AY3" s="24"/>
    </row>
    <row r="4" spans="1:51" ht="18.75" x14ac:dyDescent="0.25">
      <c r="A4" s="221"/>
      <c r="B4" s="222"/>
      <c r="C4" s="222"/>
      <c r="D4" s="222"/>
      <c r="E4" s="222"/>
      <c r="F4" s="222"/>
      <c r="G4" s="223"/>
      <c r="H4" s="201"/>
      <c r="I4" s="171"/>
      <c r="J4" s="202"/>
      <c r="K4" s="166">
        <v>0</v>
      </c>
      <c r="L4" s="168" t="s">
        <v>2</v>
      </c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4"/>
    </row>
    <row r="5" spans="1:51" ht="18.75" x14ac:dyDescent="0.25">
      <c r="A5" s="198" t="s">
        <v>1</v>
      </c>
      <c r="B5" s="199"/>
      <c r="C5" s="199"/>
      <c r="D5" s="199"/>
      <c r="E5" s="199"/>
      <c r="F5" s="199"/>
      <c r="G5" s="200"/>
      <c r="H5" s="195"/>
      <c r="I5" s="196"/>
      <c r="J5" s="197"/>
      <c r="K5" s="167">
        <f>+K4/12</f>
        <v>0</v>
      </c>
      <c r="L5" s="168" t="s">
        <v>3</v>
      </c>
      <c r="M5" s="234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4"/>
    </row>
    <row r="6" spans="1:51" ht="12.75" customHeight="1" x14ac:dyDescent="0.2">
      <c r="A6" s="210"/>
      <c r="B6" s="210"/>
      <c r="C6" s="210"/>
      <c r="D6" s="210"/>
      <c r="G6" s="243"/>
      <c r="H6" s="244"/>
      <c r="I6" s="243"/>
      <c r="M6" s="19"/>
      <c r="N6" s="19"/>
      <c r="O6" s="16" t="s">
        <v>4</v>
      </c>
      <c r="P6" s="16"/>
      <c r="Q6" s="17"/>
      <c r="R6" s="212">
        <f>+AX59</f>
        <v>0</v>
      </c>
      <c r="S6" s="212"/>
      <c r="T6" s="212"/>
      <c r="U6" s="16" t="s">
        <v>5</v>
      </c>
      <c r="V6" s="16"/>
      <c r="W6" s="19"/>
      <c r="X6" s="19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9"/>
      <c r="AM6" s="19"/>
      <c r="AN6" s="16"/>
      <c r="AO6" s="16"/>
      <c r="AP6" s="16"/>
      <c r="AQ6" s="16"/>
      <c r="AR6" s="16"/>
      <c r="AS6" s="16"/>
      <c r="AT6" s="16"/>
      <c r="AU6" s="8"/>
      <c r="AV6" s="61"/>
      <c r="AW6" s="27"/>
      <c r="AX6" s="26"/>
      <c r="AY6" s="25"/>
    </row>
    <row r="7" spans="1:51" ht="12.75" customHeight="1" x14ac:dyDescent="0.2">
      <c r="G7" s="243"/>
      <c r="H7" s="244"/>
      <c r="I7" s="243"/>
      <c r="M7" s="20"/>
      <c r="N7" s="20"/>
      <c r="O7" s="18"/>
      <c r="P7" s="18"/>
      <c r="Q7" s="18"/>
      <c r="R7" s="20"/>
      <c r="S7" s="20"/>
      <c r="T7" s="18"/>
      <c r="U7" s="18"/>
      <c r="V7" s="18"/>
      <c r="W7" s="20"/>
      <c r="X7" s="20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/>
      <c r="AM7" s="20"/>
      <c r="AN7" s="18"/>
      <c r="AO7" s="18"/>
      <c r="AP7" s="18"/>
      <c r="AQ7" s="18"/>
      <c r="AR7" s="18"/>
      <c r="AS7" s="18"/>
      <c r="AT7" s="18"/>
      <c r="AU7" s="6"/>
      <c r="AV7" s="7"/>
      <c r="AW7" s="28"/>
      <c r="AX7" s="26"/>
      <c r="AY7" s="24"/>
    </row>
    <row r="8" spans="1:51" ht="31.5" customHeight="1" x14ac:dyDescent="0.2">
      <c r="A8" s="245" t="s">
        <v>6</v>
      </c>
      <c r="B8" s="249" t="s">
        <v>7</v>
      </c>
      <c r="C8" s="249" t="s">
        <v>31</v>
      </c>
      <c r="D8" s="249" t="s">
        <v>32</v>
      </c>
      <c r="E8" s="249" t="s">
        <v>33</v>
      </c>
      <c r="F8" s="246" t="s">
        <v>8</v>
      </c>
      <c r="G8" s="247" t="s">
        <v>9</v>
      </c>
      <c r="H8" s="248" t="s">
        <v>10</v>
      </c>
      <c r="I8" s="247" t="s">
        <v>11</v>
      </c>
      <c r="J8" s="165" t="s">
        <v>12</v>
      </c>
      <c r="K8" s="257" t="s">
        <v>13</v>
      </c>
      <c r="L8" s="258" t="s">
        <v>14</v>
      </c>
      <c r="M8" s="95" t="s">
        <v>6</v>
      </c>
      <c r="N8" s="107" t="s">
        <v>15</v>
      </c>
      <c r="O8" s="11" t="s">
        <v>16</v>
      </c>
      <c r="P8" s="35" t="s">
        <v>13</v>
      </c>
      <c r="Q8" s="49" t="s">
        <v>17</v>
      </c>
      <c r="R8" s="21" t="s">
        <v>6</v>
      </c>
      <c r="S8" s="103" t="s">
        <v>15</v>
      </c>
      <c r="T8" s="11" t="s">
        <v>18</v>
      </c>
      <c r="U8" s="35" t="s">
        <v>13</v>
      </c>
      <c r="V8" s="49" t="s">
        <v>17</v>
      </c>
      <c r="W8" s="21" t="s">
        <v>6</v>
      </c>
      <c r="X8" s="103" t="s">
        <v>15</v>
      </c>
      <c r="Y8" s="11" t="s">
        <v>16</v>
      </c>
      <c r="Z8" s="35" t="s">
        <v>13</v>
      </c>
      <c r="AA8" s="50" t="s">
        <v>17</v>
      </c>
      <c r="AB8" s="21" t="s">
        <v>6</v>
      </c>
      <c r="AC8" s="103" t="s">
        <v>15</v>
      </c>
      <c r="AD8" s="11" t="s">
        <v>16</v>
      </c>
      <c r="AE8" s="35" t="s">
        <v>13</v>
      </c>
      <c r="AF8" s="50" t="s">
        <v>17</v>
      </c>
      <c r="AG8" s="21" t="s">
        <v>6</v>
      </c>
      <c r="AH8" s="103" t="s">
        <v>15</v>
      </c>
      <c r="AI8" s="11" t="s">
        <v>16</v>
      </c>
      <c r="AJ8" s="35" t="s">
        <v>13</v>
      </c>
      <c r="AK8" s="50" t="s">
        <v>17</v>
      </c>
      <c r="AL8" s="21" t="s">
        <v>6</v>
      </c>
      <c r="AM8" s="103" t="s">
        <v>15</v>
      </c>
      <c r="AN8" s="11" t="s">
        <v>16</v>
      </c>
      <c r="AO8" s="35" t="s">
        <v>13</v>
      </c>
      <c r="AP8" s="50" t="s">
        <v>17</v>
      </c>
      <c r="AQ8" s="21" t="s">
        <v>6</v>
      </c>
      <c r="AR8" s="11" t="s">
        <v>16</v>
      </c>
      <c r="AS8" s="35" t="s">
        <v>13</v>
      </c>
      <c r="AT8" s="50" t="s">
        <v>17</v>
      </c>
      <c r="AU8" s="1"/>
      <c r="AV8" s="110" t="s">
        <v>19</v>
      </c>
      <c r="AW8" s="88">
        <f>+MAX(U9:U68,Z9:Z68,AE9:AE68,AJ9:AJ68,AO9:AO68,AS9:AS68)</f>
        <v>0</v>
      </c>
      <c r="AX8" s="34"/>
      <c r="AY8" s="25"/>
    </row>
    <row r="9" spans="1:51" x14ac:dyDescent="0.2">
      <c r="A9" s="13"/>
      <c r="B9" s="129">
        <f t="shared" ref="B9:B72" si="0">+J9-G9</f>
        <v>0</v>
      </c>
      <c r="C9" s="129"/>
      <c r="D9" s="129"/>
      <c r="E9" s="129"/>
      <c r="F9" s="185"/>
      <c r="G9" s="162"/>
      <c r="H9" s="189"/>
      <c r="I9" s="169"/>
      <c r="J9" s="131"/>
      <c r="K9" s="3">
        <f>+J9</f>
        <v>0</v>
      </c>
      <c r="L9" s="52">
        <f>+K9+$AX$58+$AU$10+$AU$11+$AU$12</f>
        <v>0</v>
      </c>
      <c r="M9" s="97">
        <v>1</v>
      </c>
      <c r="N9" s="211">
        <v>1</v>
      </c>
      <c r="O9" s="3">
        <f>J9</f>
        <v>0</v>
      </c>
      <c r="P9" s="79">
        <f>K9</f>
        <v>0</v>
      </c>
      <c r="Q9" s="75">
        <f>+P9+$AX$58+$AU$10+$AU$11+$AU$12</f>
        <v>0</v>
      </c>
      <c r="R9" s="90">
        <f>+M68+1</f>
        <v>61</v>
      </c>
      <c r="S9" s="215">
        <v>31</v>
      </c>
      <c r="T9" s="3">
        <f t="shared" ref="T9:T40" si="1">J69</f>
        <v>0</v>
      </c>
      <c r="U9" s="73">
        <f t="shared" ref="U9:U17" si="2">K69</f>
        <v>0</v>
      </c>
      <c r="V9" s="81">
        <f>+U9+$AX$58+$AU$10+$AU$11+$AU$12</f>
        <v>0</v>
      </c>
      <c r="W9" s="90">
        <f>R68+1</f>
        <v>121</v>
      </c>
      <c r="X9" s="213">
        <v>61</v>
      </c>
      <c r="Y9" s="3">
        <f t="shared" ref="Y9:Y40" si="3">J129</f>
        <v>0</v>
      </c>
      <c r="Z9" s="73">
        <f t="shared" ref="Z9:Z44" si="4">K129</f>
        <v>0</v>
      </c>
      <c r="AA9" s="81">
        <f>+Z9+$AX$58+$AU$10+$AU$11+$AU$12</f>
        <v>0</v>
      </c>
      <c r="AB9" s="90">
        <f>W68+1</f>
        <v>181</v>
      </c>
      <c r="AC9" s="213">
        <v>91</v>
      </c>
      <c r="AD9" s="3">
        <f t="shared" ref="AD9:AD40" si="5">J189</f>
        <v>0</v>
      </c>
      <c r="AE9" s="73">
        <f t="shared" ref="AE9:AE44" si="6">K189</f>
        <v>0</v>
      </c>
      <c r="AF9" s="81">
        <f>+AE9+$AX$58+$AU$10+$AU$11+$AU$12</f>
        <v>0</v>
      </c>
      <c r="AG9" s="90">
        <f>AB68+1</f>
        <v>241</v>
      </c>
      <c r="AH9" s="211">
        <v>121</v>
      </c>
      <c r="AI9" s="3">
        <f t="shared" ref="AI9:AI40" si="7">J249</f>
        <v>0</v>
      </c>
      <c r="AJ9" s="73">
        <f t="shared" ref="AJ9:AJ68" si="8">K249</f>
        <v>0</v>
      </c>
      <c r="AK9" s="81">
        <f>+AJ9+$AX$58+$AU$10+$AU$11+$AU$12</f>
        <v>0</v>
      </c>
      <c r="AL9" s="175">
        <f>AG68+1</f>
        <v>301</v>
      </c>
      <c r="AM9" s="215">
        <v>151</v>
      </c>
      <c r="AN9" s="3">
        <f t="shared" ref="AN9:AN40" si="9">J309</f>
        <v>0</v>
      </c>
      <c r="AO9" s="79">
        <f t="shared" ref="AO9:AO44" si="10">K309</f>
        <v>0</v>
      </c>
      <c r="AP9" s="176">
        <f>+AO9+$AX$58+$AU$10+$AU$11+$AU$12</f>
        <v>0</v>
      </c>
      <c r="AQ9" s="90">
        <f>AL68+1</f>
        <v>361</v>
      </c>
      <c r="AR9" s="3">
        <f>J369</f>
        <v>0</v>
      </c>
      <c r="AS9" s="73">
        <f>K369</f>
        <v>0</v>
      </c>
      <c r="AT9" s="143">
        <f>+AS9+$AX$58+$AU$10+$AU$11+$AU$12</f>
        <v>0</v>
      </c>
      <c r="AU9" s="2"/>
      <c r="AV9" s="111"/>
      <c r="AW9" s="29"/>
      <c r="AX9" s="29"/>
      <c r="AY9" s="23"/>
    </row>
    <row r="10" spans="1:51" x14ac:dyDescent="0.2">
      <c r="A10" s="13"/>
      <c r="B10" s="129">
        <f t="shared" si="0"/>
        <v>0</v>
      </c>
      <c r="C10" s="129"/>
      <c r="D10" s="129"/>
      <c r="E10" s="129"/>
      <c r="F10" s="185"/>
      <c r="G10" s="162"/>
      <c r="H10" s="189"/>
      <c r="I10" s="169"/>
      <c r="J10" s="131"/>
      <c r="K10" s="3">
        <f t="shared" ref="K10:K73" si="11">J10+K9</f>
        <v>0</v>
      </c>
      <c r="L10" s="52">
        <f t="shared" ref="L10:L73" si="12">+K10+$AX$58+$AU$10+$AU$11+$AU$12</f>
        <v>0</v>
      </c>
      <c r="M10" s="97">
        <v>2</v>
      </c>
      <c r="N10" s="211"/>
      <c r="O10" s="3">
        <f t="shared" ref="O10:O41" si="13">J10</f>
        <v>0</v>
      </c>
      <c r="P10" s="74">
        <f t="shared" ref="P10:P68" si="14">K10</f>
        <v>0</v>
      </c>
      <c r="Q10" s="75">
        <f t="shared" ref="Q10:Q68" si="15">+P10+$AX$58+$AU$10+$AU$11+$AU$12</f>
        <v>0</v>
      </c>
      <c r="R10" s="76">
        <f t="shared" ref="R10:R68" si="16">+R9+1</f>
        <v>62</v>
      </c>
      <c r="S10" s="216"/>
      <c r="T10" s="3">
        <f t="shared" si="1"/>
        <v>0</v>
      </c>
      <c r="U10" s="72">
        <f t="shared" si="2"/>
        <v>0</v>
      </c>
      <c r="V10" s="81">
        <f t="shared" ref="V10:V68" si="17">+U10+$AX$58+$AU$10+$AU$11+$AU$12</f>
        <v>0</v>
      </c>
      <c r="W10" s="76">
        <f>W9+1</f>
        <v>122</v>
      </c>
      <c r="X10" s="214"/>
      <c r="Y10" s="3">
        <f t="shared" si="3"/>
        <v>0</v>
      </c>
      <c r="Z10" s="72">
        <f t="shared" si="4"/>
        <v>0</v>
      </c>
      <c r="AA10" s="81">
        <f t="shared" ref="AA10:AA68" si="18">+Z10+$AX$58+$AU$10+$AU$11+$AU$12</f>
        <v>0</v>
      </c>
      <c r="AB10" s="76">
        <f>AB9+1</f>
        <v>182</v>
      </c>
      <c r="AC10" s="214"/>
      <c r="AD10" s="3">
        <f t="shared" si="5"/>
        <v>0</v>
      </c>
      <c r="AE10" s="72">
        <f t="shared" si="6"/>
        <v>0</v>
      </c>
      <c r="AF10" s="81">
        <f t="shared" ref="AF10:AF68" si="19">+AE10+$AX$58+$AU$10+$AU$11+$AU$12</f>
        <v>0</v>
      </c>
      <c r="AG10" s="76">
        <f>AG9+1</f>
        <v>242</v>
      </c>
      <c r="AH10" s="211"/>
      <c r="AI10" s="3">
        <f t="shared" si="7"/>
        <v>0</v>
      </c>
      <c r="AJ10" s="72">
        <f t="shared" si="8"/>
        <v>0</v>
      </c>
      <c r="AK10" s="81">
        <f t="shared" ref="AK10:AK68" si="20">+AJ10+$AX$58+$AU$10+$AU$11+$AU$12</f>
        <v>0</v>
      </c>
      <c r="AL10" s="175">
        <f>AL9+1</f>
        <v>302</v>
      </c>
      <c r="AM10" s="216"/>
      <c r="AN10" s="3">
        <f t="shared" si="9"/>
        <v>0</v>
      </c>
      <c r="AO10" s="74">
        <f t="shared" si="10"/>
        <v>0</v>
      </c>
      <c r="AP10" s="176">
        <f t="shared" ref="AP10:AP68" si="21">+AO10+$AX$58+$AU$10+$AU$11+$AU$12</f>
        <v>0</v>
      </c>
      <c r="AQ10" s="76">
        <f>AQ9+1</f>
        <v>362</v>
      </c>
      <c r="AR10" s="3">
        <f t="shared" ref="AR10:AR41" si="22">J370</f>
        <v>0</v>
      </c>
      <c r="AS10" s="72">
        <f t="shared" ref="AS10:AS24" si="23">K370</f>
        <v>0</v>
      </c>
      <c r="AT10" s="143">
        <f t="shared" ref="AT10:AT18" si="24">+AS10+$AX$58+$AU$10+$AU$11+$AU$12</f>
        <v>0</v>
      </c>
      <c r="AU10" s="62"/>
      <c r="AV10" s="154"/>
      <c r="AW10" s="29"/>
      <c r="AX10" s="29"/>
      <c r="AY10" s="23"/>
    </row>
    <row r="11" spans="1:51" x14ac:dyDescent="0.2">
      <c r="A11" s="13"/>
      <c r="B11" s="129">
        <f t="shared" si="0"/>
        <v>0</v>
      </c>
      <c r="C11" s="129"/>
      <c r="D11" s="129"/>
      <c r="E11" s="129"/>
      <c r="F11" s="185"/>
      <c r="G11" s="162"/>
      <c r="H11" s="189"/>
      <c r="I11" s="169"/>
      <c r="J11" s="131"/>
      <c r="K11" s="3">
        <f t="shared" si="11"/>
        <v>0</v>
      </c>
      <c r="L11" s="52">
        <f t="shared" si="12"/>
        <v>0</v>
      </c>
      <c r="M11" s="97">
        <f t="shared" ref="M11:M68" si="25">M10+1</f>
        <v>3</v>
      </c>
      <c r="N11" s="211">
        <v>2</v>
      </c>
      <c r="O11" s="3">
        <f>J11</f>
        <v>0</v>
      </c>
      <c r="P11" s="74">
        <f t="shared" si="14"/>
        <v>0</v>
      </c>
      <c r="Q11" s="75">
        <f t="shared" si="15"/>
        <v>0</v>
      </c>
      <c r="R11" s="76">
        <f t="shared" si="16"/>
        <v>63</v>
      </c>
      <c r="S11" s="215">
        <v>32</v>
      </c>
      <c r="T11" s="3">
        <f t="shared" si="1"/>
        <v>0</v>
      </c>
      <c r="U11" s="72">
        <f t="shared" si="2"/>
        <v>0</v>
      </c>
      <c r="V11" s="81">
        <f t="shared" si="17"/>
        <v>0</v>
      </c>
      <c r="W11" s="76">
        <f>W10+1</f>
        <v>123</v>
      </c>
      <c r="X11" s="213">
        <v>62</v>
      </c>
      <c r="Y11" s="3">
        <f t="shared" si="3"/>
        <v>0</v>
      </c>
      <c r="Z11" s="72">
        <f t="shared" si="4"/>
        <v>0</v>
      </c>
      <c r="AA11" s="81">
        <f t="shared" si="18"/>
        <v>0</v>
      </c>
      <c r="AB11" s="76">
        <f t="shared" ref="AB11:AB68" si="26">AB10+1</f>
        <v>183</v>
      </c>
      <c r="AC11" s="213">
        <v>92</v>
      </c>
      <c r="AD11" s="3">
        <f t="shared" si="5"/>
        <v>0</v>
      </c>
      <c r="AE11" s="72">
        <f t="shared" si="6"/>
        <v>0</v>
      </c>
      <c r="AF11" s="81">
        <f t="shared" si="19"/>
        <v>0</v>
      </c>
      <c r="AG11" s="76">
        <f t="shared" ref="AG11:AG68" si="27">AG10+1</f>
        <v>243</v>
      </c>
      <c r="AH11" s="211">
        <v>122</v>
      </c>
      <c r="AI11" s="3">
        <f t="shared" si="7"/>
        <v>0</v>
      </c>
      <c r="AJ11" s="72">
        <f t="shared" si="8"/>
        <v>0</v>
      </c>
      <c r="AK11" s="81">
        <f t="shared" si="20"/>
        <v>0</v>
      </c>
      <c r="AL11" s="175">
        <f t="shared" ref="AL11:AL68" si="28">AL10+1</f>
        <v>303</v>
      </c>
      <c r="AM11" s="215">
        <v>152</v>
      </c>
      <c r="AN11" s="33">
        <f t="shared" si="9"/>
        <v>0</v>
      </c>
      <c r="AO11" s="74">
        <f t="shared" si="10"/>
        <v>0</v>
      </c>
      <c r="AP11" s="177">
        <f t="shared" si="21"/>
        <v>0</v>
      </c>
      <c r="AQ11" s="76">
        <f t="shared" ref="AQ11:AQ68" si="29">AQ10+1</f>
        <v>363</v>
      </c>
      <c r="AR11" s="33">
        <f t="shared" si="22"/>
        <v>0</v>
      </c>
      <c r="AS11" s="72">
        <f t="shared" si="23"/>
        <v>0</v>
      </c>
      <c r="AT11" s="143">
        <f t="shared" si="24"/>
        <v>0</v>
      </c>
      <c r="AU11" s="62"/>
      <c r="AV11" s="154"/>
      <c r="AW11" s="109"/>
      <c r="AX11" s="109"/>
      <c r="AY11" s="23"/>
    </row>
    <row r="12" spans="1:51" x14ac:dyDescent="0.2">
      <c r="A12" s="13"/>
      <c r="B12" s="129">
        <f t="shared" si="0"/>
        <v>0</v>
      </c>
      <c r="C12" s="129"/>
      <c r="D12" s="129"/>
      <c r="E12" s="129"/>
      <c r="F12" s="185"/>
      <c r="G12" s="162"/>
      <c r="H12" s="189"/>
      <c r="I12" s="169"/>
      <c r="J12" s="131"/>
      <c r="K12" s="3">
        <f t="shared" si="11"/>
        <v>0</v>
      </c>
      <c r="L12" s="52">
        <f t="shared" si="12"/>
        <v>0</v>
      </c>
      <c r="M12" s="97">
        <f t="shared" si="25"/>
        <v>4</v>
      </c>
      <c r="N12" s="211"/>
      <c r="O12" s="3">
        <f t="shared" si="13"/>
        <v>0</v>
      </c>
      <c r="P12" s="74">
        <f t="shared" si="14"/>
        <v>0</v>
      </c>
      <c r="Q12" s="75">
        <f t="shared" si="15"/>
        <v>0</v>
      </c>
      <c r="R12" s="76">
        <f t="shared" si="16"/>
        <v>64</v>
      </c>
      <c r="S12" s="216"/>
      <c r="T12" s="3">
        <f t="shared" si="1"/>
        <v>0</v>
      </c>
      <c r="U12" s="72">
        <f t="shared" si="2"/>
        <v>0</v>
      </c>
      <c r="V12" s="81">
        <f t="shared" si="17"/>
        <v>0</v>
      </c>
      <c r="W12" s="76">
        <f t="shared" ref="W12:W17" si="30">W11+1</f>
        <v>124</v>
      </c>
      <c r="X12" s="214"/>
      <c r="Y12" s="3">
        <f t="shared" si="3"/>
        <v>0</v>
      </c>
      <c r="Z12" s="72">
        <f t="shared" si="4"/>
        <v>0</v>
      </c>
      <c r="AA12" s="81">
        <f t="shared" si="18"/>
        <v>0</v>
      </c>
      <c r="AB12" s="76">
        <f t="shared" si="26"/>
        <v>184</v>
      </c>
      <c r="AC12" s="214"/>
      <c r="AD12" s="3">
        <f t="shared" si="5"/>
        <v>0</v>
      </c>
      <c r="AE12" s="72">
        <f t="shared" si="6"/>
        <v>0</v>
      </c>
      <c r="AF12" s="81">
        <f t="shared" si="19"/>
        <v>0</v>
      </c>
      <c r="AG12" s="76">
        <f t="shared" si="27"/>
        <v>244</v>
      </c>
      <c r="AH12" s="211"/>
      <c r="AI12" s="3">
        <f t="shared" si="7"/>
        <v>0</v>
      </c>
      <c r="AJ12" s="72">
        <f t="shared" si="8"/>
        <v>0</v>
      </c>
      <c r="AK12" s="81">
        <f t="shared" si="20"/>
        <v>0</v>
      </c>
      <c r="AL12" s="175">
        <f t="shared" si="28"/>
        <v>304</v>
      </c>
      <c r="AM12" s="216"/>
      <c r="AN12" s="33">
        <f t="shared" si="9"/>
        <v>0</v>
      </c>
      <c r="AO12" s="74">
        <f t="shared" si="10"/>
        <v>0</v>
      </c>
      <c r="AP12" s="177">
        <f t="shared" si="21"/>
        <v>0</v>
      </c>
      <c r="AQ12" s="76">
        <f t="shared" si="29"/>
        <v>364</v>
      </c>
      <c r="AR12" s="33">
        <f t="shared" si="22"/>
        <v>0</v>
      </c>
      <c r="AS12" s="72">
        <f t="shared" si="23"/>
        <v>0</v>
      </c>
      <c r="AT12" s="143">
        <f t="shared" si="24"/>
        <v>0</v>
      </c>
      <c r="AU12" s="62"/>
      <c r="AV12" s="154"/>
      <c r="AW12" s="109"/>
      <c r="AX12" s="109"/>
      <c r="AY12" s="23"/>
    </row>
    <row r="13" spans="1:51" x14ac:dyDescent="0.2">
      <c r="A13" s="13"/>
      <c r="B13" s="129">
        <f t="shared" si="0"/>
        <v>0</v>
      </c>
      <c r="C13" s="129"/>
      <c r="D13" s="129"/>
      <c r="E13" s="129"/>
      <c r="F13" s="185"/>
      <c r="G13" s="162"/>
      <c r="H13" s="189"/>
      <c r="I13" s="169"/>
      <c r="J13" s="131"/>
      <c r="K13" s="3">
        <f t="shared" si="11"/>
        <v>0</v>
      </c>
      <c r="L13" s="52">
        <f t="shared" si="12"/>
        <v>0</v>
      </c>
      <c r="M13" s="97">
        <f t="shared" si="25"/>
        <v>5</v>
      </c>
      <c r="N13" s="211">
        <v>3</v>
      </c>
      <c r="O13" s="3">
        <f t="shared" si="13"/>
        <v>0</v>
      </c>
      <c r="P13" s="74">
        <f t="shared" si="14"/>
        <v>0</v>
      </c>
      <c r="Q13" s="75">
        <f t="shared" si="15"/>
        <v>0</v>
      </c>
      <c r="R13" s="76">
        <f t="shared" si="16"/>
        <v>65</v>
      </c>
      <c r="S13" s="215">
        <v>33</v>
      </c>
      <c r="T13" s="3">
        <f t="shared" si="1"/>
        <v>0</v>
      </c>
      <c r="U13" s="72">
        <f t="shared" si="2"/>
        <v>0</v>
      </c>
      <c r="V13" s="81">
        <f t="shared" si="17"/>
        <v>0</v>
      </c>
      <c r="W13" s="76">
        <f t="shared" si="30"/>
        <v>125</v>
      </c>
      <c r="X13" s="213">
        <v>63</v>
      </c>
      <c r="Y13" s="3">
        <f t="shared" si="3"/>
        <v>0</v>
      </c>
      <c r="Z13" s="72">
        <f t="shared" si="4"/>
        <v>0</v>
      </c>
      <c r="AA13" s="81">
        <f t="shared" si="18"/>
        <v>0</v>
      </c>
      <c r="AB13" s="76">
        <f t="shared" si="26"/>
        <v>185</v>
      </c>
      <c r="AC13" s="213">
        <v>93</v>
      </c>
      <c r="AD13" s="3">
        <f t="shared" si="5"/>
        <v>0</v>
      </c>
      <c r="AE13" s="72">
        <f t="shared" si="6"/>
        <v>0</v>
      </c>
      <c r="AF13" s="81">
        <f t="shared" si="19"/>
        <v>0</v>
      </c>
      <c r="AG13" s="76">
        <f t="shared" si="27"/>
        <v>245</v>
      </c>
      <c r="AH13" s="211">
        <v>123</v>
      </c>
      <c r="AI13" s="3">
        <f t="shared" si="7"/>
        <v>0</v>
      </c>
      <c r="AJ13" s="72">
        <f t="shared" si="8"/>
        <v>0</v>
      </c>
      <c r="AK13" s="81">
        <f t="shared" si="20"/>
        <v>0</v>
      </c>
      <c r="AL13" s="175">
        <f t="shared" si="28"/>
        <v>305</v>
      </c>
      <c r="AM13" s="215">
        <v>153</v>
      </c>
      <c r="AN13" s="33">
        <f t="shared" si="9"/>
        <v>0</v>
      </c>
      <c r="AO13" s="72">
        <f t="shared" si="10"/>
        <v>0</v>
      </c>
      <c r="AP13" s="177">
        <f t="shared" si="21"/>
        <v>0</v>
      </c>
      <c r="AQ13" s="76">
        <f t="shared" si="29"/>
        <v>365</v>
      </c>
      <c r="AR13" s="33">
        <f t="shared" si="22"/>
        <v>0</v>
      </c>
      <c r="AS13" s="72">
        <f t="shared" si="23"/>
        <v>0</v>
      </c>
      <c r="AT13" s="143">
        <f t="shared" si="24"/>
        <v>0</v>
      </c>
      <c r="AU13" s="2"/>
      <c r="AV13" s="154"/>
      <c r="AW13" s="29"/>
      <c r="AX13" s="29"/>
      <c r="AY13" s="23"/>
    </row>
    <row r="14" spans="1:51" ht="15" customHeight="1" x14ac:dyDescent="0.2">
      <c r="A14" s="13"/>
      <c r="B14" s="129">
        <f t="shared" si="0"/>
        <v>0</v>
      </c>
      <c r="C14" s="129"/>
      <c r="D14" s="129"/>
      <c r="E14" s="129"/>
      <c r="F14" s="185"/>
      <c r="G14" s="162"/>
      <c r="H14" s="189"/>
      <c r="I14" s="169"/>
      <c r="J14" s="131"/>
      <c r="K14" s="3">
        <f t="shared" si="11"/>
        <v>0</v>
      </c>
      <c r="L14" s="52">
        <f t="shared" si="12"/>
        <v>0</v>
      </c>
      <c r="M14" s="97">
        <f t="shared" si="25"/>
        <v>6</v>
      </c>
      <c r="N14" s="211"/>
      <c r="O14" s="3">
        <f t="shared" si="13"/>
        <v>0</v>
      </c>
      <c r="P14" s="74">
        <f t="shared" si="14"/>
        <v>0</v>
      </c>
      <c r="Q14" s="75">
        <f t="shared" si="15"/>
        <v>0</v>
      </c>
      <c r="R14" s="76">
        <f t="shared" si="16"/>
        <v>66</v>
      </c>
      <c r="S14" s="216"/>
      <c r="T14" s="3">
        <f t="shared" si="1"/>
        <v>0</v>
      </c>
      <c r="U14" s="72">
        <f t="shared" si="2"/>
        <v>0</v>
      </c>
      <c r="V14" s="81">
        <f t="shared" si="17"/>
        <v>0</v>
      </c>
      <c r="W14" s="76">
        <f t="shared" si="30"/>
        <v>126</v>
      </c>
      <c r="X14" s="214"/>
      <c r="Y14" s="3">
        <f t="shared" si="3"/>
        <v>0</v>
      </c>
      <c r="Z14" s="72">
        <f t="shared" si="4"/>
        <v>0</v>
      </c>
      <c r="AA14" s="81">
        <f t="shared" si="18"/>
        <v>0</v>
      </c>
      <c r="AB14" s="76">
        <f t="shared" si="26"/>
        <v>186</v>
      </c>
      <c r="AC14" s="214"/>
      <c r="AD14" s="3">
        <f t="shared" si="5"/>
        <v>0</v>
      </c>
      <c r="AE14" s="72">
        <f t="shared" si="6"/>
        <v>0</v>
      </c>
      <c r="AF14" s="81">
        <f t="shared" si="19"/>
        <v>0</v>
      </c>
      <c r="AG14" s="76">
        <f t="shared" si="27"/>
        <v>246</v>
      </c>
      <c r="AH14" s="211"/>
      <c r="AI14" s="3">
        <f t="shared" si="7"/>
        <v>0</v>
      </c>
      <c r="AJ14" s="72">
        <f t="shared" si="8"/>
        <v>0</v>
      </c>
      <c r="AK14" s="81">
        <f t="shared" si="20"/>
        <v>0</v>
      </c>
      <c r="AL14" s="175">
        <f t="shared" si="28"/>
        <v>306</v>
      </c>
      <c r="AM14" s="216"/>
      <c r="AN14" s="33">
        <f t="shared" si="9"/>
        <v>0</v>
      </c>
      <c r="AO14" s="72">
        <f t="shared" si="10"/>
        <v>0</v>
      </c>
      <c r="AP14" s="177">
        <f t="shared" si="21"/>
        <v>0</v>
      </c>
      <c r="AQ14" s="76">
        <f t="shared" si="29"/>
        <v>366</v>
      </c>
      <c r="AR14" s="33">
        <f t="shared" si="22"/>
        <v>0</v>
      </c>
      <c r="AS14" s="72">
        <f t="shared" si="23"/>
        <v>0</v>
      </c>
      <c r="AT14" s="143">
        <f t="shared" si="24"/>
        <v>0</v>
      </c>
      <c r="AU14" s="4"/>
      <c r="AV14" s="14"/>
      <c r="AW14" s="30"/>
      <c r="AX14" s="30"/>
      <c r="AY14" s="23"/>
    </row>
    <row r="15" spans="1:51" ht="15.75" customHeight="1" thickBot="1" x14ac:dyDescent="0.25">
      <c r="A15" s="13"/>
      <c r="B15" s="129">
        <f t="shared" si="0"/>
        <v>0</v>
      </c>
      <c r="C15" s="129"/>
      <c r="D15" s="129"/>
      <c r="E15" s="129"/>
      <c r="F15" s="185"/>
      <c r="G15" s="162"/>
      <c r="H15" s="189"/>
      <c r="I15" s="169"/>
      <c r="J15" s="131"/>
      <c r="K15" s="3">
        <f t="shared" si="11"/>
        <v>0</v>
      </c>
      <c r="L15" s="52">
        <f t="shared" si="12"/>
        <v>0</v>
      </c>
      <c r="M15" s="97">
        <f t="shared" si="25"/>
        <v>7</v>
      </c>
      <c r="N15" s="211">
        <v>4</v>
      </c>
      <c r="O15" s="3">
        <f t="shared" si="13"/>
        <v>0</v>
      </c>
      <c r="P15" s="74">
        <f t="shared" si="14"/>
        <v>0</v>
      </c>
      <c r="Q15" s="75">
        <f>+P15+$AX$58+$AU$10+$AU$11+$AU$12</f>
        <v>0</v>
      </c>
      <c r="R15" s="76">
        <f t="shared" si="16"/>
        <v>67</v>
      </c>
      <c r="S15" s="215">
        <v>34</v>
      </c>
      <c r="T15" s="3">
        <f t="shared" si="1"/>
        <v>0</v>
      </c>
      <c r="U15" s="72">
        <f t="shared" si="2"/>
        <v>0</v>
      </c>
      <c r="V15" s="81">
        <f t="shared" si="17"/>
        <v>0</v>
      </c>
      <c r="W15" s="76">
        <f t="shared" si="30"/>
        <v>127</v>
      </c>
      <c r="X15" s="213">
        <v>64</v>
      </c>
      <c r="Y15" s="3">
        <f t="shared" si="3"/>
        <v>0</v>
      </c>
      <c r="Z15" s="72">
        <f t="shared" si="4"/>
        <v>0</v>
      </c>
      <c r="AA15" s="81">
        <f t="shared" si="18"/>
        <v>0</v>
      </c>
      <c r="AB15" s="76">
        <f t="shared" si="26"/>
        <v>187</v>
      </c>
      <c r="AC15" s="213">
        <v>94</v>
      </c>
      <c r="AD15" s="3">
        <f t="shared" si="5"/>
        <v>0</v>
      </c>
      <c r="AE15" s="72">
        <f t="shared" si="6"/>
        <v>0</v>
      </c>
      <c r="AF15" s="81">
        <f t="shared" si="19"/>
        <v>0</v>
      </c>
      <c r="AG15" s="76">
        <f t="shared" si="27"/>
        <v>247</v>
      </c>
      <c r="AH15" s="211">
        <v>124</v>
      </c>
      <c r="AI15" s="3">
        <f t="shared" si="7"/>
        <v>0</v>
      </c>
      <c r="AJ15" s="72">
        <f t="shared" si="8"/>
        <v>0</v>
      </c>
      <c r="AK15" s="81">
        <f t="shared" si="20"/>
        <v>0</v>
      </c>
      <c r="AL15" s="175">
        <f t="shared" si="28"/>
        <v>307</v>
      </c>
      <c r="AM15" s="215">
        <v>154</v>
      </c>
      <c r="AN15" s="33">
        <f t="shared" si="9"/>
        <v>0</v>
      </c>
      <c r="AO15" s="72">
        <f t="shared" si="10"/>
        <v>0</v>
      </c>
      <c r="AP15" s="177">
        <f t="shared" si="21"/>
        <v>0</v>
      </c>
      <c r="AQ15" s="76">
        <f t="shared" si="29"/>
        <v>367</v>
      </c>
      <c r="AR15" s="33">
        <f t="shared" si="22"/>
        <v>0</v>
      </c>
      <c r="AS15" s="72">
        <f t="shared" si="23"/>
        <v>0</v>
      </c>
      <c r="AT15" s="143">
        <f t="shared" si="24"/>
        <v>0</v>
      </c>
      <c r="AU15" s="15"/>
      <c r="AV15" s="15"/>
      <c r="AW15" s="31"/>
      <c r="AX15" s="31"/>
      <c r="AY15" s="23"/>
    </row>
    <row r="16" spans="1:51" ht="15.75" customHeight="1" thickTop="1" x14ac:dyDescent="0.2">
      <c r="A16" s="13"/>
      <c r="B16" s="129">
        <f t="shared" si="0"/>
        <v>0</v>
      </c>
      <c r="C16" s="129"/>
      <c r="D16" s="129"/>
      <c r="E16" s="129"/>
      <c r="F16" s="185"/>
      <c r="G16" s="162"/>
      <c r="H16" s="189"/>
      <c r="I16" s="169"/>
      <c r="J16" s="131"/>
      <c r="K16" s="3">
        <f t="shared" si="11"/>
        <v>0</v>
      </c>
      <c r="L16" s="52">
        <f t="shared" si="12"/>
        <v>0</v>
      </c>
      <c r="M16" s="97">
        <f t="shared" si="25"/>
        <v>8</v>
      </c>
      <c r="N16" s="211"/>
      <c r="O16" s="3">
        <f t="shared" si="13"/>
        <v>0</v>
      </c>
      <c r="P16" s="74">
        <f t="shared" si="14"/>
        <v>0</v>
      </c>
      <c r="Q16" s="75">
        <f t="shared" si="15"/>
        <v>0</v>
      </c>
      <c r="R16" s="76">
        <f t="shared" si="16"/>
        <v>68</v>
      </c>
      <c r="S16" s="216"/>
      <c r="T16" s="3">
        <f t="shared" si="1"/>
        <v>0</v>
      </c>
      <c r="U16" s="72">
        <f t="shared" si="2"/>
        <v>0</v>
      </c>
      <c r="V16" s="81">
        <f t="shared" si="17"/>
        <v>0</v>
      </c>
      <c r="W16" s="76">
        <f t="shared" si="30"/>
        <v>128</v>
      </c>
      <c r="X16" s="214"/>
      <c r="Y16" s="3">
        <f t="shared" si="3"/>
        <v>0</v>
      </c>
      <c r="Z16" s="72">
        <f t="shared" si="4"/>
        <v>0</v>
      </c>
      <c r="AA16" s="81">
        <f t="shared" si="18"/>
        <v>0</v>
      </c>
      <c r="AB16" s="76">
        <f t="shared" si="26"/>
        <v>188</v>
      </c>
      <c r="AC16" s="214"/>
      <c r="AD16" s="3">
        <f t="shared" si="5"/>
        <v>0</v>
      </c>
      <c r="AE16" s="72">
        <f t="shared" si="6"/>
        <v>0</v>
      </c>
      <c r="AF16" s="81">
        <f t="shared" si="19"/>
        <v>0</v>
      </c>
      <c r="AG16" s="76">
        <f t="shared" si="27"/>
        <v>248</v>
      </c>
      <c r="AH16" s="211"/>
      <c r="AI16" s="3">
        <f t="shared" si="7"/>
        <v>0</v>
      </c>
      <c r="AJ16" s="72">
        <f t="shared" si="8"/>
        <v>0</v>
      </c>
      <c r="AK16" s="81">
        <f t="shared" si="20"/>
        <v>0</v>
      </c>
      <c r="AL16" s="175">
        <f t="shared" si="28"/>
        <v>308</v>
      </c>
      <c r="AM16" s="216"/>
      <c r="AN16" s="33">
        <f t="shared" si="9"/>
        <v>0</v>
      </c>
      <c r="AO16" s="72">
        <f t="shared" si="10"/>
        <v>0</v>
      </c>
      <c r="AP16" s="177">
        <f t="shared" si="21"/>
        <v>0</v>
      </c>
      <c r="AQ16" s="76">
        <f t="shared" si="29"/>
        <v>368</v>
      </c>
      <c r="AR16" s="33">
        <f t="shared" si="22"/>
        <v>0</v>
      </c>
      <c r="AS16" s="137">
        <f t="shared" si="23"/>
        <v>0</v>
      </c>
      <c r="AT16" s="143">
        <f t="shared" si="24"/>
        <v>0</v>
      </c>
      <c r="AU16" s="44" t="s">
        <v>20</v>
      </c>
      <c r="AV16" s="45" t="s">
        <v>21</v>
      </c>
      <c r="AW16" s="46" t="s">
        <v>22</v>
      </c>
      <c r="AX16" s="47" t="s">
        <v>23</v>
      </c>
      <c r="AY16" s="23"/>
    </row>
    <row r="17" spans="1:51" ht="15.75" customHeight="1" x14ac:dyDescent="0.2">
      <c r="A17" s="13"/>
      <c r="B17" s="129">
        <f t="shared" si="0"/>
        <v>0</v>
      </c>
      <c r="C17" s="129"/>
      <c r="D17" s="129"/>
      <c r="E17" s="129"/>
      <c r="F17" s="185"/>
      <c r="G17" s="162"/>
      <c r="H17" s="189"/>
      <c r="I17" s="169"/>
      <c r="J17" s="131"/>
      <c r="K17" s="3">
        <f t="shared" si="11"/>
        <v>0</v>
      </c>
      <c r="L17" s="52">
        <f t="shared" si="12"/>
        <v>0</v>
      </c>
      <c r="M17" s="97">
        <f t="shared" si="25"/>
        <v>9</v>
      </c>
      <c r="N17" s="211">
        <v>5</v>
      </c>
      <c r="O17" s="3">
        <f t="shared" si="13"/>
        <v>0</v>
      </c>
      <c r="P17" s="74">
        <f t="shared" si="14"/>
        <v>0</v>
      </c>
      <c r="Q17" s="75">
        <f t="shared" si="15"/>
        <v>0</v>
      </c>
      <c r="R17" s="76">
        <f t="shared" si="16"/>
        <v>69</v>
      </c>
      <c r="S17" s="215">
        <v>35</v>
      </c>
      <c r="T17" s="3">
        <f t="shared" si="1"/>
        <v>0</v>
      </c>
      <c r="U17" s="72">
        <f t="shared" si="2"/>
        <v>0</v>
      </c>
      <c r="V17" s="81">
        <f t="shared" si="17"/>
        <v>0</v>
      </c>
      <c r="W17" s="76">
        <f t="shared" si="30"/>
        <v>129</v>
      </c>
      <c r="X17" s="213">
        <v>65</v>
      </c>
      <c r="Y17" s="3">
        <f t="shared" si="3"/>
        <v>0</v>
      </c>
      <c r="Z17" s="72">
        <f t="shared" si="4"/>
        <v>0</v>
      </c>
      <c r="AA17" s="81">
        <f t="shared" si="18"/>
        <v>0</v>
      </c>
      <c r="AB17" s="76">
        <f t="shared" si="26"/>
        <v>189</v>
      </c>
      <c r="AC17" s="213">
        <v>95</v>
      </c>
      <c r="AD17" s="3">
        <f t="shared" si="5"/>
        <v>0</v>
      </c>
      <c r="AE17" s="72">
        <f t="shared" si="6"/>
        <v>0</v>
      </c>
      <c r="AF17" s="81">
        <f t="shared" si="19"/>
        <v>0</v>
      </c>
      <c r="AG17" s="76">
        <f t="shared" si="27"/>
        <v>249</v>
      </c>
      <c r="AH17" s="211">
        <v>125</v>
      </c>
      <c r="AI17" s="3">
        <f t="shared" si="7"/>
        <v>0</v>
      </c>
      <c r="AJ17" s="72">
        <f t="shared" si="8"/>
        <v>0</v>
      </c>
      <c r="AK17" s="81">
        <f t="shared" si="20"/>
        <v>0</v>
      </c>
      <c r="AL17" s="175">
        <f t="shared" si="28"/>
        <v>309</v>
      </c>
      <c r="AM17" s="215">
        <v>155</v>
      </c>
      <c r="AN17" s="33">
        <f t="shared" si="9"/>
        <v>0</v>
      </c>
      <c r="AO17" s="72">
        <f t="shared" si="10"/>
        <v>0</v>
      </c>
      <c r="AP17" s="177">
        <f t="shared" si="21"/>
        <v>0</v>
      </c>
      <c r="AQ17" s="76">
        <f t="shared" si="29"/>
        <v>369</v>
      </c>
      <c r="AR17" s="33">
        <f t="shared" si="22"/>
        <v>0</v>
      </c>
      <c r="AS17" s="137">
        <f t="shared" si="23"/>
        <v>0</v>
      </c>
      <c r="AT17" s="145">
        <f t="shared" si="24"/>
        <v>0</v>
      </c>
      <c r="AU17" s="36"/>
      <c r="AV17" s="37"/>
      <c r="AW17" s="58">
        <f>AU17</f>
        <v>0</v>
      </c>
      <c r="AX17" s="59">
        <v>0</v>
      </c>
      <c r="AY17" s="23"/>
    </row>
    <row r="18" spans="1:51" x14ac:dyDescent="0.2">
      <c r="A18" s="13"/>
      <c r="B18" s="129">
        <f t="shared" si="0"/>
        <v>0</v>
      </c>
      <c r="C18" s="203"/>
      <c r="D18" s="203"/>
      <c r="E18" s="203"/>
      <c r="F18" s="186"/>
      <c r="G18" s="163"/>
      <c r="H18" s="189"/>
      <c r="I18" s="169"/>
      <c r="J18" s="131"/>
      <c r="K18" s="9">
        <f t="shared" si="11"/>
        <v>0</v>
      </c>
      <c r="L18" s="52">
        <f t="shared" si="12"/>
        <v>0</v>
      </c>
      <c r="M18" s="98">
        <f t="shared" si="25"/>
        <v>10</v>
      </c>
      <c r="N18" s="211"/>
      <c r="O18" s="53">
        <f t="shared" si="13"/>
        <v>0</v>
      </c>
      <c r="P18" s="53">
        <f t="shared" si="14"/>
        <v>0</v>
      </c>
      <c r="Q18" s="80">
        <f t="shared" si="15"/>
        <v>0</v>
      </c>
      <c r="R18" s="91">
        <f t="shared" si="16"/>
        <v>70</v>
      </c>
      <c r="S18" s="216"/>
      <c r="T18" s="53">
        <f t="shared" si="1"/>
        <v>0</v>
      </c>
      <c r="U18" s="53">
        <f t="shared" ref="U18:U68" si="31">K78</f>
        <v>0</v>
      </c>
      <c r="V18" s="80">
        <f t="shared" si="17"/>
        <v>0</v>
      </c>
      <c r="W18" s="91">
        <f>W17+1</f>
        <v>130</v>
      </c>
      <c r="X18" s="214"/>
      <c r="Y18" s="53">
        <f t="shared" si="3"/>
        <v>0</v>
      </c>
      <c r="Z18" s="53">
        <f t="shared" si="4"/>
        <v>0</v>
      </c>
      <c r="AA18" s="80">
        <f t="shared" si="18"/>
        <v>0</v>
      </c>
      <c r="AB18" s="91">
        <f t="shared" si="26"/>
        <v>190</v>
      </c>
      <c r="AC18" s="214"/>
      <c r="AD18" s="53">
        <f t="shared" si="5"/>
        <v>0</v>
      </c>
      <c r="AE18" s="53">
        <f t="shared" si="6"/>
        <v>0</v>
      </c>
      <c r="AF18" s="80">
        <f t="shared" si="19"/>
        <v>0</v>
      </c>
      <c r="AG18" s="91">
        <f t="shared" si="27"/>
        <v>250</v>
      </c>
      <c r="AH18" s="211"/>
      <c r="AI18" s="53">
        <f t="shared" si="7"/>
        <v>0</v>
      </c>
      <c r="AJ18" s="53">
        <f t="shared" si="8"/>
        <v>0</v>
      </c>
      <c r="AK18" s="80">
        <f t="shared" si="20"/>
        <v>0</v>
      </c>
      <c r="AL18" s="175">
        <f t="shared" si="28"/>
        <v>310</v>
      </c>
      <c r="AM18" s="216"/>
      <c r="AN18" s="53">
        <f t="shared" si="9"/>
        <v>0</v>
      </c>
      <c r="AO18" s="53">
        <f t="shared" si="10"/>
        <v>0</v>
      </c>
      <c r="AP18" s="177">
        <f t="shared" si="21"/>
        <v>0</v>
      </c>
      <c r="AQ18" s="76">
        <f t="shared" si="29"/>
        <v>370</v>
      </c>
      <c r="AR18" s="146">
        <f t="shared" si="22"/>
        <v>0</v>
      </c>
      <c r="AS18" s="147">
        <f t="shared" si="23"/>
        <v>0</v>
      </c>
      <c r="AT18" s="148">
        <f t="shared" si="24"/>
        <v>0</v>
      </c>
      <c r="AU18" s="78"/>
      <c r="AV18" s="77"/>
      <c r="AW18" s="56">
        <f>AX17</f>
        <v>0</v>
      </c>
      <c r="AX18" s="57">
        <f>+AU18</f>
        <v>0</v>
      </c>
      <c r="AY18" s="23"/>
    </row>
    <row r="19" spans="1:51" x14ac:dyDescent="0.2">
      <c r="A19" s="13"/>
      <c r="B19" s="129">
        <f t="shared" si="0"/>
        <v>0</v>
      </c>
      <c r="C19" s="129"/>
      <c r="D19" s="129"/>
      <c r="E19" s="129"/>
      <c r="F19" s="185"/>
      <c r="G19" s="162"/>
      <c r="H19" s="189"/>
      <c r="I19" s="169"/>
      <c r="J19" s="131"/>
      <c r="K19" s="5">
        <f t="shared" si="11"/>
        <v>0</v>
      </c>
      <c r="L19" s="52">
        <f t="shared" si="12"/>
        <v>0</v>
      </c>
      <c r="M19" s="96">
        <f t="shared" si="25"/>
        <v>11</v>
      </c>
      <c r="N19" s="211">
        <v>6</v>
      </c>
      <c r="O19" s="3">
        <f t="shared" si="13"/>
        <v>0</v>
      </c>
      <c r="P19" s="73">
        <f t="shared" si="14"/>
        <v>0</v>
      </c>
      <c r="Q19" s="81">
        <f t="shared" si="15"/>
        <v>0</v>
      </c>
      <c r="R19" s="90">
        <f t="shared" si="16"/>
        <v>71</v>
      </c>
      <c r="S19" s="215">
        <v>36</v>
      </c>
      <c r="T19" s="3">
        <f t="shared" si="1"/>
        <v>0</v>
      </c>
      <c r="U19" s="73">
        <f t="shared" si="31"/>
        <v>0</v>
      </c>
      <c r="V19" s="81">
        <f t="shared" si="17"/>
        <v>0</v>
      </c>
      <c r="W19" s="90">
        <f>W18+1</f>
        <v>131</v>
      </c>
      <c r="X19" s="213">
        <v>66</v>
      </c>
      <c r="Y19" s="3">
        <f t="shared" si="3"/>
        <v>0</v>
      </c>
      <c r="Z19" s="73">
        <f t="shared" si="4"/>
        <v>0</v>
      </c>
      <c r="AA19" s="81">
        <f t="shared" si="18"/>
        <v>0</v>
      </c>
      <c r="AB19" s="90">
        <f t="shared" si="26"/>
        <v>191</v>
      </c>
      <c r="AC19" s="213">
        <v>96</v>
      </c>
      <c r="AD19" s="3">
        <f t="shared" si="5"/>
        <v>0</v>
      </c>
      <c r="AE19" s="73">
        <f t="shared" si="6"/>
        <v>0</v>
      </c>
      <c r="AF19" s="81">
        <f t="shared" si="19"/>
        <v>0</v>
      </c>
      <c r="AG19" s="90">
        <f t="shared" si="27"/>
        <v>251</v>
      </c>
      <c r="AH19" s="211">
        <v>126</v>
      </c>
      <c r="AI19" s="3">
        <f t="shared" si="7"/>
        <v>0</v>
      </c>
      <c r="AJ19" s="73">
        <f t="shared" si="8"/>
        <v>0</v>
      </c>
      <c r="AK19" s="81">
        <f t="shared" si="20"/>
        <v>0</v>
      </c>
      <c r="AL19" s="175">
        <f t="shared" si="28"/>
        <v>311</v>
      </c>
      <c r="AM19" s="215">
        <v>156</v>
      </c>
      <c r="AN19" s="121">
        <f t="shared" si="9"/>
        <v>0</v>
      </c>
      <c r="AO19" s="122">
        <f t="shared" si="10"/>
        <v>0</v>
      </c>
      <c r="AP19" s="177">
        <f>+AO19+$AX$58+$AU$10+$AU$11+$AU$12</f>
        <v>0</v>
      </c>
      <c r="AQ19" s="76">
        <f t="shared" si="29"/>
        <v>371</v>
      </c>
      <c r="AR19" s="121">
        <f t="shared" si="22"/>
        <v>0</v>
      </c>
      <c r="AS19" s="142">
        <f t="shared" si="23"/>
        <v>0</v>
      </c>
      <c r="AT19" s="145">
        <f t="shared" ref="AT19:AT25" si="32">+AS19+$AX$58+$AU$10+$AU$11+$AU$12</f>
        <v>0</v>
      </c>
      <c r="AU19" s="55">
        <f>+AW8+AU10+AU12+AU11</f>
        <v>0</v>
      </c>
      <c r="AV19" s="164"/>
      <c r="AW19" s="112">
        <f>AX18</f>
        <v>0</v>
      </c>
      <c r="AX19" s="113">
        <f>+AU19</f>
        <v>0</v>
      </c>
      <c r="AY19" s="23"/>
    </row>
    <row r="20" spans="1:51" ht="14.25" x14ac:dyDescent="0.2">
      <c r="A20" s="13"/>
      <c r="B20" s="129">
        <f t="shared" si="0"/>
        <v>0</v>
      </c>
      <c r="C20" s="129"/>
      <c r="D20" s="129"/>
      <c r="E20" s="129"/>
      <c r="F20" s="185"/>
      <c r="G20" s="162"/>
      <c r="H20" s="189"/>
      <c r="I20" s="169"/>
      <c r="J20" s="131"/>
      <c r="K20" s="3">
        <f t="shared" si="11"/>
        <v>0</v>
      </c>
      <c r="L20" s="52">
        <f t="shared" si="12"/>
        <v>0</v>
      </c>
      <c r="M20" s="97">
        <f t="shared" si="25"/>
        <v>12</v>
      </c>
      <c r="N20" s="211"/>
      <c r="O20" s="3">
        <f t="shared" si="13"/>
        <v>0</v>
      </c>
      <c r="P20" s="72">
        <f t="shared" si="14"/>
        <v>0</v>
      </c>
      <c r="Q20" s="81">
        <f t="shared" si="15"/>
        <v>0</v>
      </c>
      <c r="R20" s="76">
        <f t="shared" si="16"/>
        <v>72</v>
      </c>
      <c r="S20" s="216"/>
      <c r="T20" s="3">
        <f t="shared" si="1"/>
        <v>0</v>
      </c>
      <c r="U20" s="72">
        <f t="shared" si="31"/>
        <v>0</v>
      </c>
      <c r="V20" s="81">
        <f t="shared" si="17"/>
        <v>0</v>
      </c>
      <c r="W20" s="76">
        <f t="shared" ref="W20:W27" si="33">W19+1</f>
        <v>132</v>
      </c>
      <c r="X20" s="214"/>
      <c r="Y20" s="3">
        <f t="shared" si="3"/>
        <v>0</v>
      </c>
      <c r="Z20" s="72">
        <f t="shared" si="4"/>
        <v>0</v>
      </c>
      <c r="AA20" s="81">
        <f t="shared" si="18"/>
        <v>0</v>
      </c>
      <c r="AB20" s="76">
        <f t="shared" si="26"/>
        <v>192</v>
      </c>
      <c r="AC20" s="214"/>
      <c r="AD20" s="3">
        <f t="shared" si="5"/>
        <v>0</v>
      </c>
      <c r="AE20" s="72">
        <f t="shared" si="6"/>
        <v>0</v>
      </c>
      <c r="AF20" s="81">
        <f t="shared" si="19"/>
        <v>0</v>
      </c>
      <c r="AG20" s="76">
        <f t="shared" si="27"/>
        <v>252</v>
      </c>
      <c r="AH20" s="211"/>
      <c r="AI20" s="3">
        <f t="shared" si="7"/>
        <v>0</v>
      </c>
      <c r="AJ20" s="72">
        <f t="shared" si="8"/>
        <v>0</v>
      </c>
      <c r="AK20" s="81">
        <f t="shared" si="20"/>
        <v>0</v>
      </c>
      <c r="AL20" s="175">
        <f t="shared" si="28"/>
        <v>312</v>
      </c>
      <c r="AM20" s="216"/>
      <c r="AN20" s="33">
        <f t="shared" si="9"/>
        <v>0</v>
      </c>
      <c r="AO20" s="74">
        <f t="shared" si="10"/>
        <v>0</v>
      </c>
      <c r="AP20" s="177">
        <f t="shared" si="21"/>
        <v>0</v>
      </c>
      <c r="AQ20" s="76">
        <f t="shared" si="29"/>
        <v>372</v>
      </c>
      <c r="AR20" s="33">
        <f t="shared" si="22"/>
        <v>0</v>
      </c>
      <c r="AS20" s="137">
        <f t="shared" si="23"/>
        <v>0</v>
      </c>
      <c r="AT20" s="145">
        <f t="shared" si="32"/>
        <v>0</v>
      </c>
      <c r="AU20" s="60"/>
      <c r="AV20" s="108"/>
      <c r="AW20" s="56">
        <f>AX19</f>
        <v>0</v>
      </c>
      <c r="AX20" s="57">
        <f>+AU20+AW20</f>
        <v>0</v>
      </c>
      <c r="AY20" s="23"/>
    </row>
    <row r="21" spans="1:51" ht="14.25" x14ac:dyDescent="0.2">
      <c r="A21" s="13"/>
      <c r="B21" s="129">
        <f t="shared" si="0"/>
        <v>0</v>
      </c>
      <c r="C21" s="129"/>
      <c r="D21" s="129"/>
      <c r="E21" s="129"/>
      <c r="F21" s="185"/>
      <c r="G21" s="162"/>
      <c r="H21" s="189"/>
      <c r="I21" s="169"/>
      <c r="J21" s="131"/>
      <c r="K21" s="3">
        <f t="shared" si="11"/>
        <v>0</v>
      </c>
      <c r="L21" s="52">
        <f t="shared" si="12"/>
        <v>0</v>
      </c>
      <c r="M21" s="97">
        <f t="shared" si="25"/>
        <v>13</v>
      </c>
      <c r="N21" s="211">
        <v>7</v>
      </c>
      <c r="O21" s="3">
        <f t="shared" si="13"/>
        <v>0</v>
      </c>
      <c r="P21" s="72">
        <f t="shared" si="14"/>
        <v>0</v>
      </c>
      <c r="Q21" s="81">
        <f t="shared" si="15"/>
        <v>0</v>
      </c>
      <c r="R21" s="76">
        <f t="shared" si="16"/>
        <v>73</v>
      </c>
      <c r="S21" s="215">
        <v>37</v>
      </c>
      <c r="T21" s="3">
        <f t="shared" si="1"/>
        <v>0</v>
      </c>
      <c r="U21" s="72">
        <f t="shared" si="31"/>
        <v>0</v>
      </c>
      <c r="V21" s="81">
        <f t="shared" si="17"/>
        <v>0</v>
      </c>
      <c r="W21" s="76">
        <f t="shared" si="33"/>
        <v>133</v>
      </c>
      <c r="X21" s="213">
        <v>67</v>
      </c>
      <c r="Y21" s="3">
        <f t="shared" si="3"/>
        <v>0</v>
      </c>
      <c r="Z21" s="72">
        <f t="shared" si="4"/>
        <v>0</v>
      </c>
      <c r="AA21" s="81">
        <f t="shared" si="18"/>
        <v>0</v>
      </c>
      <c r="AB21" s="76">
        <f t="shared" si="26"/>
        <v>193</v>
      </c>
      <c r="AC21" s="213">
        <v>97</v>
      </c>
      <c r="AD21" s="3">
        <f t="shared" si="5"/>
        <v>0</v>
      </c>
      <c r="AE21" s="72">
        <f t="shared" si="6"/>
        <v>0</v>
      </c>
      <c r="AF21" s="81">
        <f t="shared" si="19"/>
        <v>0</v>
      </c>
      <c r="AG21" s="76">
        <f t="shared" si="27"/>
        <v>253</v>
      </c>
      <c r="AH21" s="211">
        <v>127</v>
      </c>
      <c r="AI21" s="3">
        <f t="shared" si="7"/>
        <v>0</v>
      </c>
      <c r="AJ21" s="72">
        <f t="shared" si="8"/>
        <v>0</v>
      </c>
      <c r="AK21" s="81">
        <f t="shared" si="20"/>
        <v>0</v>
      </c>
      <c r="AL21" s="175">
        <f t="shared" si="28"/>
        <v>313</v>
      </c>
      <c r="AM21" s="215">
        <v>157</v>
      </c>
      <c r="AN21" s="33">
        <f t="shared" si="9"/>
        <v>0</v>
      </c>
      <c r="AO21" s="74">
        <f t="shared" si="10"/>
        <v>0</v>
      </c>
      <c r="AP21" s="177">
        <f t="shared" si="21"/>
        <v>0</v>
      </c>
      <c r="AQ21" s="76">
        <f t="shared" si="29"/>
        <v>373</v>
      </c>
      <c r="AR21" s="33">
        <f t="shared" si="22"/>
        <v>0</v>
      </c>
      <c r="AS21" s="137">
        <f t="shared" si="23"/>
        <v>0</v>
      </c>
      <c r="AT21" s="145">
        <f t="shared" si="32"/>
        <v>0</v>
      </c>
      <c r="AU21" s="60"/>
      <c r="AV21" s="108"/>
      <c r="AW21" s="56">
        <f t="shared" ref="AW21:AW57" si="34">AX20</f>
        <v>0</v>
      </c>
      <c r="AX21" s="57">
        <f t="shared" ref="AX21:AX57" si="35">+AU21+AW21</f>
        <v>0</v>
      </c>
      <c r="AY21" s="23"/>
    </row>
    <row r="22" spans="1:51" ht="15.75" customHeight="1" x14ac:dyDescent="0.2">
      <c r="A22" s="13"/>
      <c r="B22" s="129">
        <f t="shared" si="0"/>
        <v>0</v>
      </c>
      <c r="C22" s="129"/>
      <c r="D22" s="129"/>
      <c r="E22" s="129"/>
      <c r="F22" s="185"/>
      <c r="G22" s="162"/>
      <c r="H22" s="189"/>
      <c r="I22" s="169"/>
      <c r="J22" s="131"/>
      <c r="K22" s="3">
        <f t="shared" si="11"/>
        <v>0</v>
      </c>
      <c r="L22" s="52">
        <f t="shared" si="12"/>
        <v>0</v>
      </c>
      <c r="M22" s="97">
        <f t="shared" si="25"/>
        <v>14</v>
      </c>
      <c r="N22" s="211"/>
      <c r="O22" s="3">
        <f t="shared" si="13"/>
        <v>0</v>
      </c>
      <c r="P22" s="72">
        <f t="shared" si="14"/>
        <v>0</v>
      </c>
      <c r="Q22" s="81">
        <f t="shared" si="15"/>
        <v>0</v>
      </c>
      <c r="R22" s="76">
        <f t="shared" si="16"/>
        <v>74</v>
      </c>
      <c r="S22" s="216"/>
      <c r="T22" s="3">
        <f t="shared" si="1"/>
        <v>0</v>
      </c>
      <c r="U22" s="72">
        <f t="shared" si="31"/>
        <v>0</v>
      </c>
      <c r="V22" s="81">
        <f t="shared" si="17"/>
        <v>0</v>
      </c>
      <c r="W22" s="76">
        <f t="shared" si="33"/>
        <v>134</v>
      </c>
      <c r="X22" s="214"/>
      <c r="Y22" s="3">
        <f t="shared" si="3"/>
        <v>0</v>
      </c>
      <c r="Z22" s="72">
        <f t="shared" si="4"/>
        <v>0</v>
      </c>
      <c r="AA22" s="81">
        <f t="shared" si="18"/>
        <v>0</v>
      </c>
      <c r="AB22" s="76">
        <f t="shared" si="26"/>
        <v>194</v>
      </c>
      <c r="AC22" s="214"/>
      <c r="AD22" s="3">
        <f t="shared" si="5"/>
        <v>0</v>
      </c>
      <c r="AE22" s="72">
        <f t="shared" si="6"/>
        <v>0</v>
      </c>
      <c r="AF22" s="81">
        <f t="shared" si="19"/>
        <v>0</v>
      </c>
      <c r="AG22" s="76">
        <f t="shared" si="27"/>
        <v>254</v>
      </c>
      <c r="AH22" s="211"/>
      <c r="AI22" s="3">
        <f t="shared" si="7"/>
        <v>0</v>
      </c>
      <c r="AJ22" s="72">
        <f t="shared" si="8"/>
        <v>0</v>
      </c>
      <c r="AK22" s="81">
        <f t="shared" si="20"/>
        <v>0</v>
      </c>
      <c r="AL22" s="175">
        <f t="shared" si="28"/>
        <v>314</v>
      </c>
      <c r="AM22" s="216"/>
      <c r="AN22" s="33">
        <f t="shared" si="9"/>
        <v>0</v>
      </c>
      <c r="AO22" s="74">
        <f t="shared" si="10"/>
        <v>0</v>
      </c>
      <c r="AP22" s="177">
        <f t="shared" si="21"/>
        <v>0</v>
      </c>
      <c r="AQ22" s="76">
        <f t="shared" si="29"/>
        <v>374</v>
      </c>
      <c r="AR22" s="33">
        <f t="shared" si="22"/>
        <v>0</v>
      </c>
      <c r="AS22" s="137">
        <f t="shared" si="23"/>
        <v>0</v>
      </c>
      <c r="AT22" s="145">
        <f t="shared" si="32"/>
        <v>0</v>
      </c>
      <c r="AU22" s="60"/>
      <c r="AV22" s="204"/>
      <c r="AW22" s="56">
        <f t="shared" si="34"/>
        <v>0</v>
      </c>
      <c r="AX22" s="57">
        <f t="shared" si="35"/>
        <v>0</v>
      </c>
      <c r="AY22" s="23"/>
    </row>
    <row r="23" spans="1:51" ht="14.25" x14ac:dyDescent="0.2">
      <c r="A23" s="13"/>
      <c r="B23" s="129">
        <f t="shared" si="0"/>
        <v>0</v>
      </c>
      <c r="C23" s="129"/>
      <c r="D23" s="129"/>
      <c r="E23" s="129"/>
      <c r="F23" s="185"/>
      <c r="G23" s="162"/>
      <c r="H23" s="189"/>
      <c r="I23" s="169"/>
      <c r="J23" s="131"/>
      <c r="K23" s="3">
        <f t="shared" si="11"/>
        <v>0</v>
      </c>
      <c r="L23" s="52">
        <f t="shared" si="12"/>
        <v>0</v>
      </c>
      <c r="M23" s="97">
        <f t="shared" si="25"/>
        <v>15</v>
      </c>
      <c r="N23" s="211">
        <v>8</v>
      </c>
      <c r="O23" s="3">
        <f t="shared" si="13"/>
        <v>0</v>
      </c>
      <c r="P23" s="72">
        <f t="shared" si="14"/>
        <v>0</v>
      </c>
      <c r="Q23" s="81">
        <f t="shared" si="15"/>
        <v>0</v>
      </c>
      <c r="R23" s="76">
        <f t="shared" si="16"/>
        <v>75</v>
      </c>
      <c r="S23" s="215">
        <v>38</v>
      </c>
      <c r="T23" s="3">
        <f t="shared" si="1"/>
        <v>0</v>
      </c>
      <c r="U23" s="72">
        <f t="shared" si="31"/>
        <v>0</v>
      </c>
      <c r="V23" s="81">
        <f t="shared" si="17"/>
        <v>0</v>
      </c>
      <c r="W23" s="76">
        <f t="shared" si="33"/>
        <v>135</v>
      </c>
      <c r="X23" s="213">
        <v>68</v>
      </c>
      <c r="Y23" s="3">
        <f t="shared" si="3"/>
        <v>0</v>
      </c>
      <c r="Z23" s="72">
        <f t="shared" si="4"/>
        <v>0</v>
      </c>
      <c r="AA23" s="81">
        <f t="shared" si="18"/>
        <v>0</v>
      </c>
      <c r="AB23" s="76">
        <f t="shared" si="26"/>
        <v>195</v>
      </c>
      <c r="AC23" s="213">
        <v>98</v>
      </c>
      <c r="AD23" s="3">
        <f t="shared" si="5"/>
        <v>0</v>
      </c>
      <c r="AE23" s="72">
        <f t="shared" si="6"/>
        <v>0</v>
      </c>
      <c r="AF23" s="81">
        <f t="shared" si="19"/>
        <v>0</v>
      </c>
      <c r="AG23" s="76">
        <f t="shared" si="27"/>
        <v>255</v>
      </c>
      <c r="AH23" s="211">
        <v>128</v>
      </c>
      <c r="AI23" s="3">
        <f t="shared" si="7"/>
        <v>0</v>
      </c>
      <c r="AJ23" s="72">
        <f t="shared" si="8"/>
        <v>0</v>
      </c>
      <c r="AK23" s="81">
        <f t="shared" si="20"/>
        <v>0</v>
      </c>
      <c r="AL23" s="175">
        <f t="shared" si="28"/>
        <v>315</v>
      </c>
      <c r="AM23" s="215">
        <v>158</v>
      </c>
      <c r="AN23" s="33">
        <f t="shared" si="9"/>
        <v>0</v>
      </c>
      <c r="AO23" s="74">
        <f t="shared" si="10"/>
        <v>0</v>
      </c>
      <c r="AP23" s="177">
        <f t="shared" si="21"/>
        <v>0</v>
      </c>
      <c r="AQ23" s="76">
        <f t="shared" si="29"/>
        <v>375</v>
      </c>
      <c r="AR23" s="33">
        <f t="shared" si="22"/>
        <v>0</v>
      </c>
      <c r="AS23" s="137">
        <f t="shared" si="23"/>
        <v>0</v>
      </c>
      <c r="AT23" s="145">
        <f t="shared" si="32"/>
        <v>0</v>
      </c>
      <c r="AU23" s="60"/>
      <c r="AV23" s="204"/>
      <c r="AW23" s="56">
        <f t="shared" si="34"/>
        <v>0</v>
      </c>
      <c r="AX23" s="57">
        <f t="shared" si="35"/>
        <v>0</v>
      </c>
      <c r="AY23" s="23"/>
    </row>
    <row r="24" spans="1:51" ht="15" customHeight="1" x14ac:dyDescent="0.2">
      <c r="A24" s="13"/>
      <c r="B24" s="129">
        <f t="shared" si="0"/>
        <v>0</v>
      </c>
      <c r="C24" s="203"/>
      <c r="D24" s="203"/>
      <c r="E24" s="203"/>
      <c r="F24" s="186"/>
      <c r="G24" s="163"/>
      <c r="H24" s="189"/>
      <c r="I24" s="170"/>
      <c r="J24" s="131"/>
      <c r="K24" s="3">
        <f t="shared" si="11"/>
        <v>0</v>
      </c>
      <c r="L24" s="52">
        <f t="shared" si="12"/>
        <v>0</v>
      </c>
      <c r="M24" s="97">
        <f t="shared" si="25"/>
        <v>16</v>
      </c>
      <c r="N24" s="211"/>
      <c r="O24" s="3">
        <f t="shared" si="13"/>
        <v>0</v>
      </c>
      <c r="P24" s="72">
        <f t="shared" si="14"/>
        <v>0</v>
      </c>
      <c r="Q24" s="81">
        <f t="shared" si="15"/>
        <v>0</v>
      </c>
      <c r="R24" s="76">
        <f t="shared" si="16"/>
        <v>76</v>
      </c>
      <c r="S24" s="216"/>
      <c r="T24" s="3">
        <f t="shared" si="1"/>
        <v>0</v>
      </c>
      <c r="U24" s="72">
        <f t="shared" si="31"/>
        <v>0</v>
      </c>
      <c r="V24" s="81">
        <f t="shared" si="17"/>
        <v>0</v>
      </c>
      <c r="W24" s="76">
        <f t="shared" si="33"/>
        <v>136</v>
      </c>
      <c r="X24" s="214"/>
      <c r="Y24" s="3">
        <f t="shared" si="3"/>
        <v>0</v>
      </c>
      <c r="Z24" s="72">
        <f t="shared" si="4"/>
        <v>0</v>
      </c>
      <c r="AA24" s="81">
        <f t="shared" si="18"/>
        <v>0</v>
      </c>
      <c r="AB24" s="76">
        <f t="shared" si="26"/>
        <v>196</v>
      </c>
      <c r="AC24" s="214"/>
      <c r="AD24" s="3">
        <f t="shared" si="5"/>
        <v>0</v>
      </c>
      <c r="AE24" s="72">
        <f t="shared" si="6"/>
        <v>0</v>
      </c>
      <c r="AF24" s="81">
        <f t="shared" si="19"/>
        <v>0</v>
      </c>
      <c r="AG24" s="76">
        <f t="shared" si="27"/>
        <v>256</v>
      </c>
      <c r="AH24" s="211"/>
      <c r="AI24" s="3">
        <f t="shared" si="7"/>
        <v>0</v>
      </c>
      <c r="AJ24" s="72">
        <f t="shared" si="8"/>
        <v>0</v>
      </c>
      <c r="AK24" s="81">
        <f t="shared" si="20"/>
        <v>0</v>
      </c>
      <c r="AL24" s="175">
        <f t="shared" si="28"/>
        <v>316</v>
      </c>
      <c r="AM24" s="216"/>
      <c r="AN24" s="33">
        <f t="shared" si="9"/>
        <v>0</v>
      </c>
      <c r="AO24" s="74">
        <f t="shared" si="10"/>
        <v>0</v>
      </c>
      <c r="AP24" s="177">
        <f t="shared" si="21"/>
        <v>0</v>
      </c>
      <c r="AQ24" s="76">
        <f t="shared" si="29"/>
        <v>376</v>
      </c>
      <c r="AR24" s="33">
        <f t="shared" si="22"/>
        <v>0</v>
      </c>
      <c r="AS24" s="137">
        <f t="shared" si="23"/>
        <v>0</v>
      </c>
      <c r="AT24" s="144">
        <f t="shared" si="32"/>
        <v>0</v>
      </c>
      <c r="AU24" s="60"/>
      <c r="AV24" s="204"/>
      <c r="AW24" s="56">
        <f t="shared" si="34"/>
        <v>0</v>
      </c>
      <c r="AX24" s="57">
        <f t="shared" si="35"/>
        <v>0</v>
      </c>
      <c r="AY24" s="23"/>
    </row>
    <row r="25" spans="1:51" ht="14.25" x14ac:dyDescent="0.2">
      <c r="A25" s="13"/>
      <c r="B25" s="129">
        <f t="shared" si="0"/>
        <v>0</v>
      </c>
      <c r="C25" s="129"/>
      <c r="D25" s="129"/>
      <c r="E25" s="129"/>
      <c r="F25" s="185"/>
      <c r="G25" s="162"/>
      <c r="H25" s="189"/>
      <c r="I25" s="169"/>
      <c r="J25" s="131"/>
      <c r="K25" s="3">
        <f t="shared" si="11"/>
        <v>0</v>
      </c>
      <c r="L25" s="52">
        <f t="shared" si="12"/>
        <v>0</v>
      </c>
      <c r="M25" s="97">
        <f t="shared" si="25"/>
        <v>17</v>
      </c>
      <c r="N25" s="211">
        <v>9</v>
      </c>
      <c r="O25" s="3">
        <f t="shared" si="13"/>
        <v>0</v>
      </c>
      <c r="P25" s="72">
        <f t="shared" si="14"/>
        <v>0</v>
      </c>
      <c r="Q25" s="81">
        <f t="shared" si="15"/>
        <v>0</v>
      </c>
      <c r="R25" s="76">
        <f t="shared" si="16"/>
        <v>77</v>
      </c>
      <c r="S25" s="215">
        <v>39</v>
      </c>
      <c r="T25" s="3">
        <f t="shared" si="1"/>
        <v>0</v>
      </c>
      <c r="U25" s="72">
        <f t="shared" si="31"/>
        <v>0</v>
      </c>
      <c r="V25" s="81">
        <f t="shared" si="17"/>
        <v>0</v>
      </c>
      <c r="W25" s="76">
        <f t="shared" si="33"/>
        <v>137</v>
      </c>
      <c r="X25" s="213">
        <v>69</v>
      </c>
      <c r="Y25" s="3">
        <f t="shared" si="3"/>
        <v>0</v>
      </c>
      <c r="Z25" s="72">
        <f t="shared" si="4"/>
        <v>0</v>
      </c>
      <c r="AA25" s="81">
        <f t="shared" si="18"/>
        <v>0</v>
      </c>
      <c r="AB25" s="76">
        <f t="shared" si="26"/>
        <v>197</v>
      </c>
      <c r="AC25" s="213">
        <v>99</v>
      </c>
      <c r="AD25" s="3">
        <f t="shared" si="5"/>
        <v>0</v>
      </c>
      <c r="AE25" s="72">
        <f t="shared" si="6"/>
        <v>0</v>
      </c>
      <c r="AF25" s="81">
        <f t="shared" si="19"/>
        <v>0</v>
      </c>
      <c r="AG25" s="76">
        <f t="shared" si="27"/>
        <v>257</v>
      </c>
      <c r="AH25" s="211">
        <v>129</v>
      </c>
      <c r="AI25" s="3">
        <f t="shared" si="7"/>
        <v>0</v>
      </c>
      <c r="AJ25" s="72">
        <f t="shared" si="8"/>
        <v>0</v>
      </c>
      <c r="AK25" s="81">
        <f t="shared" si="20"/>
        <v>0</v>
      </c>
      <c r="AL25" s="175">
        <f t="shared" si="28"/>
        <v>317</v>
      </c>
      <c r="AM25" s="215">
        <v>159</v>
      </c>
      <c r="AN25" s="33">
        <f t="shared" si="9"/>
        <v>0</v>
      </c>
      <c r="AO25" s="74">
        <f t="shared" si="10"/>
        <v>0</v>
      </c>
      <c r="AP25" s="177">
        <f>+AO25+$AX$58+$AU$10+$AU$11+$AU$12</f>
        <v>0</v>
      </c>
      <c r="AQ25" s="76">
        <f t="shared" si="29"/>
        <v>377</v>
      </c>
      <c r="AR25" s="33">
        <f t="shared" si="22"/>
        <v>0</v>
      </c>
      <c r="AS25" s="137">
        <f t="shared" ref="AS25:AS68" si="36">P325</f>
        <v>0</v>
      </c>
      <c r="AT25" s="144">
        <f t="shared" si="32"/>
        <v>0</v>
      </c>
      <c r="AU25" s="60"/>
      <c r="AV25" s="204"/>
      <c r="AW25" s="56">
        <f t="shared" si="34"/>
        <v>0</v>
      </c>
      <c r="AX25" s="57">
        <f t="shared" si="35"/>
        <v>0</v>
      </c>
      <c r="AY25" s="23"/>
    </row>
    <row r="26" spans="1:51" ht="15" customHeight="1" x14ac:dyDescent="0.2">
      <c r="A26" s="13"/>
      <c r="B26" s="129">
        <f t="shared" si="0"/>
        <v>0</v>
      </c>
      <c r="C26" s="129"/>
      <c r="D26" s="129"/>
      <c r="E26" s="129"/>
      <c r="F26" s="185"/>
      <c r="G26" s="162"/>
      <c r="H26" s="189"/>
      <c r="I26" s="169"/>
      <c r="J26" s="131"/>
      <c r="K26" s="3">
        <f t="shared" si="11"/>
        <v>0</v>
      </c>
      <c r="L26" s="52">
        <f t="shared" si="12"/>
        <v>0</v>
      </c>
      <c r="M26" s="97">
        <f t="shared" si="25"/>
        <v>18</v>
      </c>
      <c r="N26" s="211"/>
      <c r="O26" s="3">
        <f t="shared" si="13"/>
        <v>0</v>
      </c>
      <c r="P26" s="72">
        <f t="shared" si="14"/>
        <v>0</v>
      </c>
      <c r="Q26" s="81">
        <f t="shared" si="15"/>
        <v>0</v>
      </c>
      <c r="R26" s="76">
        <f t="shared" si="16"/>
        <v>78</v>
      </c>
      <c r="S26" s="216"/>
      <c r="T26" s="3">
        <f t="shared" si="1"/>
        <v>0</v>
      </c>
      <c r="U26" s="72">
        <f t="shared" si="31"/>
        <v>0</v>
      </c>
      <c r="V26" s="81">
        <f t="shared" si="17"/>
        <v>0</v>
      </c>
      <c r="W26" s="76">
        <f t="shared" si="33"/>
        <v>138</v>
      </c>
      <c r="X26" s="214"/>
      <c r="Y26" s="3">
        <f t="shared" si="3"/>
        <v>0</v>
      </c>
      <c r="Z26" s="72">
        <f t="shared" si="4"/>
        <v>0</v>
      </c>
      <c r="AA26" s="81">
        <f t="shared" si="18"/>
        <v>0</v>
      </c>
      <c r="AB26" s="76">
        <f t="shared" si="26"/>
        <v>198</v>
      </c>
      <c r="AC26" s="214"/>
      <c r="AD26" s="3">
        <f t="shared" si="5"/>
        <v>0</v>
      </c>
      <c r="AE26" s="72">
        <f t="shared" si="6"/>
        <v>0</v>
      </c>
      <c r="AF26" s="81">
        <f t="shared" si="19"/>
        <v>0</v>
      </c>
      <c r="AG26" s="76">
        <f t="shared" si="27"/>
        <v>258</v>
      </c>
      <c r="AH26" s="211"/>
      <c r="AI26" s="3">
        <f t="shared" si="7"/>
        <v>0</v>
      </c>
      <c r="AJ26" s="72">
        <f t="shared" si="8"/>
        <v>0</v>
      </c>
      <c r="AK26" s="81">
        <f t="shared" si="20"/>
        <v>0</v>
      </c>
      <c r="AL26" s="175">
        <f t="shared" si="28"/>
        <v>318</v>
      </c>
      <c r="AM26" s="216"/>
      <c r="AN26" s="33">
        <f t="shared" si="9"/>
        <v>0</v>
      </c>
      <c r="AO26" s="74">
        <f t="shared" si="10"/>
        <v>0</v>
      </c>
      <c r="AP26" s="177">
        <f t="shared" si="21"/>
        <v>0</v>
      </c>
      <c r="AQ26" s="76">
        <f t="shared" si="29"/>
        <v>378</v>
      </c>
      <c r="AR26" s="33">
        <f t="shared" si="22"/>
        <v>0</v>
      </c>
      <c r="AS26" s="74">
        <f t="shared" si="36"/>
        <v>0</v>
      </c>
      <c r="AT26" s="144">
        <f t="shared" ref="AT26:AT68" si="37">+AS26+$AX$58+$AU$10+$AU$11+$AU$12</f>
        <v>0</v>
      </c>
      <c r="AU26" s="60"/>
      <c r="AV26" s="206"/>
      <c r="AW26" s="56">
        <f t="shared" si="34"/>
        <v>0</v>
      </c>
      <c r="AX26" s="57">
        <f t="shared" si="35"/>
        <v>0</v>
      </c>
      <c r="AY26" s="23"/>
    </row>
    <row r="27" spans="1:51" ht="15" customHeight="1" thickBot="1" x14ac:dyDescent="0.25">
      <c r="A27" s="13"/>
      <c r="B27" s="129">
        <f t="shared" si="0"/>
        <v>0</v>
      </c>
      <c r="C27" s="129"/>
      <c r="D27" s="129"/>
      <c r="E27" s="129"/>
      <c r="F27" s="185"/>
      <c r="G27" s="162"/>
      <c r="H27" s="189"/>
      <c r="I27" s="169"/>
      <c r="J27" s="131"/>
      <c r="K27" s="3">
        <f t="shared" si="11"/>
        <v>0</v>
      </c>
      <c r="L27" s="52">
        <f t="shared" si="12"/>
        <v>0</v>
      </c>
      <c r="M27" s="97">
        <f t="shared" si="25"/>
        <v>19</v>
      </c>
      <c r="N27" s="211">
        <v>10</v>
      </c>
      <c r="O27" s="3">
        <f t="shared" si="13"/>
        <v>0</v>
      </c>
      <c r="P27" s="72">
        <f t="shared" si="14"/>
        <v>0</v>
      </c>
      <c r="Q27" s="81">
        <f t="shared" si="15"/>
        <v>0</v>
      </c>
      <c r="R27" s="76">
        <f t="shared" si="16"/>
        <v>79</v>
      </c>
      <c r="S27" s="215">
        <v>40</v>
      </c>
      <c r="T27" s="3">
        <f t="shared" si="1"/>
        <v>0</v>
      </c>
      <c r="U27" s="72">
        <f t="shared" si="31"/>
        <v>0</v>
      </c>
      <c r="V27" s="81">
        <f t="shared" si="17"/>
        <v>0</v>
      </c>
      <c r="W27" s="76">
        <f t="shared" si="33"/>
        <v>139</v>
      </c>
      <c r="X27" s="213">
        <v>70</v>
      </c>
      <c r="Y27" s="3">
        <f t="shared" si="3"/>
        <v>0</v>
      </c>
      <c r="Z27" s="72">
        <f t="shared" si="4"/>
        <v>0</v>
      </c>
      <c r="AA27" s="81">
        <f t="shared" si="18"/>
        <v>0</v>
      </c>
      <c r="AB27" s="76">
        <f t="shared" si="26"/>
        <v>199</v>
      </c>
      <c r="AC27" s="213">
        <v>100</v>
      </c>
      <c r="AD27" s="3">
        <f t="shared" si="5"/>
        <v>0</v>
      </c>
      <c r="AE27" s="72">
        <f t="shared" si="6"/>
        <v>0</v>
      </c>
      <c r="AF27" s="81">
        <f t="shared" si="19"/>
        <v>0</v>
      </c>
      <c r="AG27" s="76">
        <f t="shared" si="27"/>
        <v>259</v>
      </c>
      <c r="AH27" s="211">
        <v>130</v>
      </c>
      <c r="AI27" s="3">
        <f t="shared" si="7"/>
        <v>0</v>
      </c>
      <c r="AJ27" s="72">
        <f t="shared" si="8"/>
        <v>0</v>
      </c>
      <c r="AK27" s="81">
        <f t="shared" si="20"/>
        <v>0</v>
      </c>
      <c r="AL27" s="175">
        <f t="shared" si="28"/>
        <v>319</v>
      </c>
      <c r="AM27" s="215">
        <v>160</v>
      </c>
      <c r="AN27" s="33">
        <f t="shared" si="9"/>
        <v>0</v>
      </c>
      <c r="AO27" s="74">
        <f t="shared" si="10"/>
        <v>0</v>
      </c>
      <c r="AP27" s="177">
        <f t="shared" si="21"/>
        <v>0</v>
      </c>
      <c r="AQ27" s="76">
        <f t="shared" si="29"/>
        <v>379</v>
      </c>
      <c r="AR27" s="33">
        <f t="shared" si="22"/>
        <v>0</v>
      </c>
      <c r="AS27" s="74">
        <f t="shared" si="36"/>
        <v>0</v>
      </c>
      <c r="AT27" s="144">
        <f t="shared" si="37"/>
        <v>0</v>
      </c>
      <c r="AU27" s="174"/>
      <c r="AV27" s="172"/>
      <c r="AW27" s="205">
        <f t="shared" si="34"/>
        <v>0</v>
      </c>
      <c r="AX27" s="183">
        <f t="shared" si="35"/>
        <v>0</v>
      </c>
      <c r="AY27" s="23"/>
    </row>
    <row r="28" spans="1:51" ht="15" customHeight="1" x14ac:dyDescent="0.2">
      <c r="A28" s="13"/>
      <c r="B28" s="250">
        <f t="shared" si="0"/>
        <v>0</v>
      </c>
      <c r="C28" s="250"/>
      <c r="D28" s="250"/>
      <c r="E28" s="250"/>
      <c r="F28" s="251"/>
      <c r="G28" s="162"/>
      <c r="H28" s="189"/>
      <c r="I28" s="169"/>
      <c r="J28" s="131"/>
      <c r="K28" s="9">
        <f t="shared" si="11"/>
        <v>0</v>
      </c>
      <c r="L28" s="52">
        <f t="shared" si="12"/>
        <v>0</v>
      </c>
      <c r="M28" s="99">
        <f t="shared" si="25"/>
        <v>20</v>
      </c>
      <c r="N28" s="211"/>
      <c r="O28" s="53">
        <f t="shared" si="13"/>
        <v>0</v>
      </c>
      <c r="P28" s="82">
        <f t="shared" si="14"/>
        <v>0</v>
      </c>
      <c r="Q28" s="83">
        <f t="shared" si="15"/>
        <v>0</v>
      </c>
      <c r="R28" s="92">
        <f t="shared" si="16"/>
        <v>80</v>
      </c>
      <c r="S28" s="216"/>
      <c r="T28" s="53">
        <f t="shared" si="1"/>
        <v>0</v>
      </c>
      <c r="U28" s="82">
        <f t="shared" si="31"/>
        <v>0</v>
      </c>
      <c r="V28" s="83">
        <f t="shared" si="17"/>
        <v>0</v>
      </c>
      <c r="W28" s="92">
        <f>W27+1</f>
        <v>140</v>
      </c>
      <c r="X28" s="214"/>
      <c r="Y28" s="53">
        <f t="shared" si="3"/>
        <v>0</v>
      </c>
      <c r="Z28" s="82">
        <f t="shared" si="4"/>
        <v>0</v>
      </c>
      <c r="AA28" s="83">
        <f t="shared" si="18"/>
        <v>0</v>
      </c>
      <c r="AB28" s="92">
        <f t="shared" si="26"/>
        <v>200</v>
      </c>
      <c r="AC28" s="214"/>
      <c r="AD28" s="53">
        <f t="shared" si="5"/>
        <v>0</v>
      </c>
      <c r="AE28" s="82">
        <f t="shared" si="6"/>
        <v>0</v>
      </c>
      <c r="AF28" s="83">
        <f t="shared" si="19"/>
        <v>0</v>
      </c>
      <c r="AG28" s="76">
        <f t="shared" si="27"/>
        <v>260</v>
      </c>
      <c r="AH28" s="211"/>
      <c r="AI28" s="53">
        <f t="shared" si="7"/>
        <v>0</v>
      </c>
      <c r="AJ28" s="53">
        <f t="shared" si="8"/>
        <v>0</v>
      </c>
      <c r="AK28" s="80">
        <f t="shared" si="20"/>
        <v>0</v>
      </c>
      <c r="AL28" s="175">
        <f t="shared" si="28"/>
        <v>320</v>
      </c>
      <c r="AM28" s="217"/>
      <c r="AN28" s="53">
        <f t="shared" si="9"/>
        <v>0</v>
      </c>
      <c r="AO28" s="53">
        <f t="shared" si="10"/>
        <v>0</v>
      </c>
      <c r="AP28" s="177">
        <f t="shared" si="21"/>
        <v>0</v>
      </c>
      <c r="AQ28" s="76">
        <f t="shared" si="29"/>
        <v>380</v>
      </c>
      <c r="AR28" s="53">
        <f t="shared" si="22"/>
        <v>0</v>
      </c>
      <c r="AS28" s="53">
        <f t="shared" si="36"/>
        <v>0</v>
      </c>
      <c r="AT28" s="150">
        <f t="shared" si="37"/>
        <v>0</v>
      </c>
      <c r="AU28" s="173"/>
      <c r="AV28" s="152"/>
      <c r="AW28" s="153">
        <f t="shared" si="34"/>
        <v>0</v>
      </c>
      <c r="AX28" s="184">
        <f t="shared" si="35"/>
        <v>0</v>
      </c>
      <c r="AY28" s="23"/>
    </row>
    <row r="29" spans="1:51" ht="15.75" customHeight="1" x14ac:dyDescent="0.2">
      <c r="A29" s="13"/>
      <c r="B29" s="250">
        <f t="shared" si="0"/>
        <v>0</v>
      </c>
      <c r="C29" s="250"/>
      <c r="D29" s="250"/>
      <c r="E29" s="250"/>
      <c r="F29" s="251"/>
      <c r="G29" s="162"/>
      <c r="H29" s="189"/>
      <c r="I29" s="169"/>
      <c r="J29" s="131"/>
      <c r="K29" s="5">
        <f t="shared" si="11"/>
        <v>0</v>
      </c>
      <c r="L29" s="52">
        <f t="shared" si="12"/>
        <v>0</v>
      </c>
      <c r="M29" s="100">
        <f t="shared" si="25"/>
        <v>21</v>
      </c>
      <c r="N29" s="211">
        <v>11</v>
      </c>
      <c r="O29" s="3">
        <f t="shared" si="13"/>
        <v>0</v>
      </c>
      <c r="P29" s="84">
        <f t="shared" si="14"/>
        <v>0</v>
      </c>
      <c r="Q29" s="85">
        <f t="shared" si="15"/>
        <v>0</v>
      </c>
      <c r="R29" s="93">
        <f t="shared" si="16"/>
        <v>81</v>
      </c>
      <c r="S29" s="215">
        <v>41</v>
      </c>
      <c r="T29" s="3">
        <f t="shared" si="1"/>
        <v>0</v>
      </c>
      <c r="U29" s="84">
        <f t="shared" si="31"/>
        <v>0</v>
      </c>
      <c r="V29" s="85">
        <f t="shared" si="17"/>
        <v>0</v>
      </c>
      <c r="W29" s="93">
        <f t="shared" ref="W29:W68" si="38">W28+1</f>
        <v>141</v>
      </c>
      <c r="X29" s="213">
        <v>71</v>
      </c>
      <c r="Y29" s="3">
        <f t="shared" si="3"/>
        <v>0</v>
      </c>
      <c r="Z29" s="84">
        <f t="shared" si="4"/>
        <v>0</v>
      </c>
      <c r="AA29" s="85">
        <f t="shared" si="18"/>
        <v>0</v>
      </c>
      <c r="AB29" s="93">
        <f t="shared" si="26"/>
        <v>201</v>
      </c>
      <c r="AC29" s="213">
        <v>101</v>
      </c>
      <c r="AD29" s="3">
        <f t="shared" si="5"/>
        <v>0</v>
      </c>
      <c r="AE29" s="84">
        <f t="shared" si="6"/>
        <v>0</v>
      </c>
      <c r="AF29" s="85">
        <f t="shared" si="19"/>
        <v>0</v>
      </c>
      <c r="AG29" s="76">
        <f t="shared" si="27"/>
        <v>261</v>
      </c>
      <c r="AH29" s="211">
        <v>131</v>
      </c>
      <c r="AI29" s="3">
        <f t="shared" si="7"/>
        <v>0</v>
      </c>
      <c r="AJ29" s="72">
        <f t="shared" si="8"/>
        <v>0</v>
      </c>
      <c r="AK29" s="81">
        <f t="shared" si="20"/>
        <v>0</v>
      </c>
      <c r="AL29" s="175">
        <f t="shared" si="28"/>
        <v>321</v>
      </c>
      <c r="AM29" s="216">
        <v>161</v>
      </c>
      <c r="AN29" s="104">
        <f t="shared" si="9"/>
        <v>0</v>
      </c>
      <c r="AO29" s="79">
        <f t="shared" si="10"/>
        <v>0</v>
      </c>
      <c r="AP29" s="177">
        <f t="shared" si="21"/>
        <v>0</v>
      </c>
      <c r="AQ29" s="76">
        <f t="shared" si="29"/>
        <v>381</v>
      </c>
      <c r="AR29" s="104">
        <f t="shared" si="22"/>
        <v>0</v>
      </c>
      <c r="AS29" s="79">
        <f t="shared" si="36"/>
        <v>0</v>
      </c>
      <c r="AT29" s="144">
        <f t="shared" si="37"/>
        <v>0</v>
      </c>
      <c r="AU29" s="60"/>
      <c r="AV29" s="48"/>
      <c r="AW29" s="56">
        <f t="shared" ref="AW29:AW38" si="39">AX28</f>
        <v>0</v>
      </c>
      <c r="AX29" s="57">
        <f t="shared" ref="AX29:AX38" si="40">+AU29+AW29</f>
        <v>0</v>
      </c>
      <c r="AY29" s="23"/>
    </row>
    <row r="30" spans="1:51" x14ac:dyDescent="0.2">
      <c r="A30" s="13"/>
      <c r="B30" s="129">
        <f t="shared" si="0"/>
        <v>0</v>
      </c>
      <c r="C30" s="129"/>
      <c r="D30" s="129"/>
      <c r="E30" s="129"/>
      <c r="F30" s="185"/>
      <c r="G30" s="162"/>
      <c r="H30" s="189"/>
      <c r="I30" s="169"/>
      <c r="J30" s="131"/>
      <c r="K30" s="3">
        <f t="shared" si="11"/>
        <v>0</v>
      </c>
      <c r="L30" s="52">
        <f t="shared" si="12"/>
        <v>0</v>
      </c>
      <c r="M30" s="97">
        <f t="shared" si="25"/>
        <v>22</v>
      </c>
      <c r="N30" s="211"/>
      <c r="O30" s="3">
        <f t="shared" si="13"/>
        <v>0</v>
      </c>
      <c r="P30" s="72">
        <f t="shared" si="14"/>
        <v>0</v>
      </c>
      <c r="Q30" s="81">
        <f t="shared" si="15"/>
        <v>0</v>
      </c>
      <c r="R30" s="76">
        <f t="shared" si="16"/>
        <v>82</v>
      </c>
      <c r="S30" s="216"/>
      <c r="T30" s="3">
        <f t="shared" si="1"/>
        <v>0</v>
      </c>
      <c r="U30" s="72">
        <f t="shared" si="31"/>
        <v>0</v>
      </c>
      <c r="V30" s="81">
        <f t="shared" si="17"/>
        <v>0</v>
      </c>
      <c r="W30" s="76">
        <f t="shared" si="38"/>
        <v>142</v>
      </c>
      <c r="X30" s="214"/>
      <c r="Y30" s="3">
        <f t="shared" si="3"/>
        <v>0</v>
      </c>
      <c r="Z30" s="72">
        <f t="shared" si="4"/>
        <v>0</v>
      </c>
      <c r="AA30" s="81">
        <f t="shared" si="18"/>
        <v>0</v>
      </c>
      <c r="AB30" s="76">
        <f t="shared" si="26"/>
        <v>202</v>
      </c>
      <c r="AC30" s="214"/>
      <c r="AD30" s="3">
        <f t="shared" si="5"/>
        <v>0</v>
      </c>
      <c r="AE30" s="72">
        <f t="shared" si="6"/>
        <v>0</v>
      </c>
      <c r="AF30" s="81">
        <f t="shared" si="19"/>
        <v>0</v>
      </c>
      <c r="AG30" s="76">
        <f t="shared" si="27"/>
        <v>262</v>
      </c>
      <c r="AH30" s="211"/>
      <c r="AI30" s="33">
        <f t="shared" si="7"/>
        <v>0</v>
      </c>
      <c r="AJ30" s="74">
        <f t="shared" si="8"/>
        <v>0</v>
      </c>
      <c r="AK30" s="75">
        <f t="shared" si="20"/>
        <v>0</v>
      </c>
      <c r="AL30" s="175">
        <f t="shared" si="28"/>
        <v>322</v>
      </c>
      <c r="AM30" s="216"/>
      <c r="AN30" s="33">
        <f t="shared" si="9"/>
        <v>0</v>
      </c>
      <c r="AO30" s="74">
        <f t="shared" si="10"/>
        <v>0</v>
      </c>
      <c r="AP30" s="177">
        <f t="shared" si="21"/>
        <v>0</v>
      </c>
      <c r="AQ30" s="76">
        <f t="shared" si="29"/>
        <v>382</v>
      </c>
      <c r="AR30" s="33">
        <f t="shared" si="22"/>
        <v>0</v>
      </c>
      <c r="AS30" s="74">
        <f t="shared" si="36"/>
        <v>0</v>
      </c>
      <c r="AT30" s="144">
        <f t="shared" si="37"/>
        <v>0</v>
      </c>
      <c r="AU30" s="157"/>
      <c r="AV30" s="48"/>
      <c r="AW30" s="127">
        <f t="shared" ref="AW30:AW33" si="41">AX29</f>
        <v>0</v>
      </c>
      <c r="AX30" s="138">
        <f t="shared" ref="AX30:AX33" si="42">+AU30+AW30</f>
        <v>0</v>
      </c>
      <c r="AY30" s="23"/>
    </row>
    <row r="31" spans="1:51" x14ac:dyDescent="0.2">
      <c r="A31" s="13"/>
      <c r="B31" s="129">
        <f t="shared" si="0"/>
        <v>0</v>
      </c>
      <c r="C31" s="129"/>
      <c r="D31" s="129"/>
      <c r="E31" s="129"/>
      <c r="F31" s="185"/>
      <c r="G31" s="162"/>
      <c r="H31" s="189"/>
      <c r="I31" s="169"/>
      <c r="J31" s="131"/>
      <c r="K31" s="3">
        <f t="shared" si="11"/>
        <v>0</v>
      </c>
      <c r="L31" s="52">
        <f t="shared" si="12"/>
        <v>0</v>
      </c>
      <c r="M31" s="97">
        <f t="shared" si="25"/>
        <v>23</v>
      </c>
      <c r="N31" s="211">
        <v>12</v>
      </c>
      <c r="O31" s="3">
        <f t="shared" si="13"/>
        <v>0</v>
      </c>
      <c r="P31" s="72">
        <f t="shared" si="14"/>
        <v>0</v>
      </c>
      <c r="Q31" s="81">
        <f t="shared" si="15"/>
        <v>0</v>
      </c>
      <c r="R31" s="76">
        <f t="shared" si="16"/>
        <v>83</v>
      </c>
      <c r="S31" s="215">
        <v>42</v>
      </c>
      <c r="T31" s="3">
        <f t="shared" si="1"/>
        <v>0</v>
      </c>
      <c r="U31" s="72">
        <f t="shared" si="31"/>
        <v>0</v>
      </c>
      <c r="V31" s="81">
        <f t="shared" si="17"/>
        <v>0</v>
      </c>
      <c r="W31" s="76">
        <f t="shared" si="38"/>
        <v>143</v>
      </c>
      <c r="X31" s="213">
        <v>72</v>
      </c>
      <c r="Y31" s="3">
        <f t="shared" si="3"/>
        <v>0</v>
      </c>
      <c r="Z31" s="72">
        <f t="shared" si="4"/>
        <v>0</v>
      </c>
      <c r="AA31" s="81">
        <f t="shared" si="18"/>
        <v>0</v>
      </c>
      <c r="AB31" s="76">
        <f t="shared" si="26"/>
        <v>203</v>
      </c>
      <c r="AC31" s="213">
        <v>102</v>
      </c>
      <c r="AD31" s="3">
        <f t="shared" si="5"/>
        <v>0</v>
      </c>
      <c r="AE31" s="72">
        <f t="shared" si="6"/>
        <v>0</v>
      </c>
      <c r="AF31" s="81">
        <f t="shared" si="19"/>
        <v>0</v>
      </c>
      <c r="AG31" s="76">
        <f t="shared" si="27"/>
        <v>263</v>
      </c>
      <c r="AH31" s="211">
        <v>132</v>
      </c>
      <c r="AI31" s="33">
        <f t="shared" si="7"/>
        <v>0</v>
      </c>
      <c r="AJ31" s="74">
        <f t="shared" si="8"/>
        <v>0</v>
      </c>
      <c r="AK31" s="75">
        <f t="shared" si="20"/>
        <v>0</v>
      </c>
      <c r="AL31" s="175">
        <f t="shared" si="28"/>
        <v>323</v>
      </c>
      <c r="AM31" s="215">
        <v>162</v>
      </c>
      <c r="AN31" s="33">
        <f t="shared" si="9"/>
        <v>0</v>
      </c>
      <c r="AO31" s="74">
        <f t="shared" si="10"/>
        <v>0</v>
      </c>
      <c r="AP31" s="177">
        <f t="shared" si="21"/>
        <v>0</v>
      </c>
      <c r="AQ31" s="76">
        <f t="shared" si="29"/>
        <v>383</v>
      </c>
      <c r="AR31" s="33">
        <f t="shared" si="22"/>
        <v>0</v>
      </c>
      <c r="AS31" s="74">
        <f t="shared" si="36"/>
        <v>0</v>
      </c>
      <c r="AT31" s="144">
        <f t="shared" si="37"/>
        <v>0</v>
      </c>
      <c r="AU31" s="157"/>
      <c r="AV31" s="48"/>
      <c r="AW31" s="56">
        <f t="shared" si="41"/>
        <v>0</v>
      </c>
      <c r="AX31" s="57">
        <f t="shared" si="42"/>
        <v>0</v>
      </c>
      <c r="AY31" s="23"/>
    </row>
    <row r="32" spans="1:51" x14ac:dyDescent="0.2">
      <c r="A32" s="13"/>
      <c r="B32" s="129">
        <f t="shared" si="0"/>
        <v>0</v>
      </c>
      <c r="C32" s="129"/>
      <c r="D32" s="129"/>
      <c r="E32" s="129"/>
      <c r="F32" s="185"/>
      <c r="G32" s="162"/>
      <c r="H32" s="189"/>
      <c r="I32" s="169"/>
      <c r="J32" s="131"/>
      <c r="K32" s="3">
        <f t="shared" si="11"/>
        <v>0</v>
      </c>
      <c r="L32" s="52">
        <f t="shared" si="12"/>
        <v>0</v>
      </c>
      <c r="M32" s="97">
        <f t="shared" si="25"/>
        <v>24</v>
      </c>
      <c r="N32" s="211"/>
      <c r="O32" s="3">
        <f t="shared" si="13"/>
        <v>0</v>
      </c>
      <c r="P32" s="72">
        <f t="shared" si="14"/>
        <v>0</v>
      </c>
      <c r="Q32" s="81">
        <f t="shared" si="15"/>
        <v>0</v>
      </c>
      <c r="R32" s="76">
        <f t="shared" si="16"/>
        <v>84</v>
      </c>
      <c r="S32" s="216"/>
      <c r="T32" s="3">
        <f t="shared" si="1"/>
        <v>0</v>
      </c>
      <c r="U32" s="72">
        <f t="shared" si="31"/>
        <v>0</v>
      </c>
      <c r="V32" s="81">
        <f t="shared" si="17"/>
        <v>0</v>
      </c>
      <c r="W32" s="76">
        <f t="shared" si="38"/>
        <v>144</v>
      </c>
      <c r="X32" s="214"/>
      <c r="Y32" s="3">
        <f t="shared" si="3"/>
        <v>0</v>
      </c>
      <c r="Z32" s="72">
        <f t="shared" si="4"/>
        <v>0</v>
      </c>
      <c r="AA32" s="81">
        <f t="shared" si="18"/>
        <v>0</v>
      </c>
      <c r="AB32" s="76">
        <f t="shared" si="26"/>
        <v>204</v>
      </c>
      <c r="AC32" s="214"/>
      <c r="AD32" s="3">
        <f t="shared" si="5"/>
        <v>0</v>
      </c>
      <c r="AE32" s="72">
        <f t="shared" si="6"/>
        <v>0</v>
      </c>
      <c r="AF32" s="81">
        <f t="shared" si="19"/>
        <v>0</v>
      </c>
      <c r="AG32" s="76">
        <f t="shared" si="27"/>
        <v>264</v>
      </c>
      <c r="AH32" s="211"/>
      <c r="AI32" s="33">
        <f t="shared" si="7"/>
        <v>0</v>
      </c>
      <c r="AJ32" s="74">
        <f t="shared" si="8"/>
        <v>0</v>
      </c>
      <c r="AK32" s="75">
        <f t="shared" si="20"/>
        <v>0</v>
      </c>
      <c r="AL32" s="175">
        <f t="shared" si="28"/>
        <v>324</v>
      </c>
      <c r="AM32" s="216"/>
      <c r="AN32" s="33">
        <f t="shared" si="9"/>
        <v>0</v>
      </c>
      <c r="AO32" s="74">
        <f t="shared" si="10"/>
        <v>0</v>
      </c>
      <c r="AP32" s="177">
        <f t="shared" si="21"/>
        <v>0</v>
      </c>
      <c r="AQ32" s="76">
        <f t="shared" si="29"/>
        <v>384</v>
      </c>
      <c r="AR32" s="33">
        <f t="shared" si="22"/>
        <v>0</v>
      </c>
      <c r="AS32" s="74">
        <f t="shared" si="36"/>
        <v>0</v>
      </c>
      <c r="AT32" s="144">
        <f t="shared" si="37"/>
        <v>0</v>
      </c>
      <c r="AU32" s="157"/>
      <c r="AV32" s="48"/>
      <c r="AW32" s="127">
        <f t="shared" ref="AW32" si="43">AX31</f>
        <v>0</v>
      </c>
      <c r="AX32" s="138">
        <f t="shared" ref="AX32" si="44">+AU32+AW32</f>
        <v>0</v>
      </c>
      <c r="AY32" s="23"/>
    </row>
    <row r="33" spans="1:51" x14ac:dyDescent="0.2">
      <c r="A33" s="13"/>
      <c r="B33" s="129">
        <f t="shared" si="0"/>
        <v>0</v>
      </c>
      <c r="C33" s="129"/>
      <c r="D33" s="129"/>
      <c r="E33" s="129"/>
      <c r="F33" s="187"/>
      <c r="G33" s="162"/>
      <c r="H33" s="189"/>
      <c r="I33" s="169"/>
      <c r="J33" s="131"/>
      <c r="K33" s="3">
        <f t="shared" si="11"/>
        <v>0</v>
      </c>
      <c r="L33" s="52">
        <f t="shared" si="12"/>
        <v>0</v>
      </c>
      <c r="M33" s="97">
        <f t="shared" si="25"/>
        <v>25</v>
      </c>
      <c r="N33" s="211">
        <v>13</v>
      </c>
      <c r="O33" s="3">
        <f t="shared" si="13"/>
        <v>0</v>
      </c>
      <c r="P33" s="72">
        <f t="shared" si="14"/>
        <v>0</v>
      </c>
      <c r="Q33" s="81">
        <f t="shared" si="15"/>
        <v>0</v>
      </c>
      <c r="R33" s="76">
        <f t="shared" si="16"/>
        <v>85</v>
      </c>
      <c r="S33" s="215">
        <v>43</v>
      </c>
      <c r="T33" s="3">
        <f t="shared" si="1"/>
        <v>0</v>
      </c>
      <c r="U33" s="72">
        <f t="shared" si="31"/>
        <v>0</v>
      </c>
      <c r="V33" s="81">
        <f t="shared" si="17"/>
        <v>0</v>
      </c>
      <c r="W33" s="76">
        <f t="shared" si="38"/>
        <v>145</v>
      </c>
      <c r="X33" s="213">
        <v>73</v>
      </c>
      <c r="Y33" s="3">
        <f t="shared" si="3"/>
        <v>0</v>
      </c>
      <c r="Z33" s="72">
        <f t="shared" si="4"/>
        <v>0</v>
      </c>
      <c r="AA33" s="81">
        <f t="shared" si="18"/>
        <v>0</v>
      </c>
      <c r="AB33" s="76">
        <f t="shared" si="26"/>
        <v>205</v>
      </c>
      <c r="AC33" s="213">
        <v>103</v>
      </c>
      <c r="AD33" s="3">
        <f t="shared" si="5"/>
        <v>0</v>
      </c>
      <c r="AE33" s="72">
        <f t="shared" si="6"/>
        <v>0</v>
      </c>
      <c r="AF33" s="81">
        <f t="shared" si="19"/>
        <v>0</v>
      </c>
      <c r="AG33" s="76">
        <f t="shared" si="27"/>
        <v>265</v>
      </c>
      <c r="AH33" s="211">
        <v>133</v>
      </c>
      <c r="AI33" s="33">
        <f t="shared" si="7"/>
        <v>0</v>
      </c>
      <c r="AJ33" s="74">
        <f t="shared" si="8"/>
        <v>0</v>
      </c>
      <c r="AK33" s="75">
        <f t="shared" si="20"/>
        <v>0</v>
      </c>
      <c r="AL33" s="175">
        <f t="shared" si="28"/>
        <v>325</v>
      </c>
      <c r="AM33" s="215">
        <v>163</v>
      </c>
      <c r="AN33" s="33">
        <f t="shared" si="9"/>
        <v>0</v>
      </c>
      <c r="AO33" s="74">
        <f t="shared" si="10"/>
        <v>0</v>
      </c>
      <c r="AP33" s="177">
        <f t="shared" si="21"/>
        <v>0</v>
      </c>
      <c r="AQ33" s="76">
        <f t="shared" si="29"/>
        <v>385</v>
      </c>
      <c r="AR33" s="33">
        <f t="shared" si="22"/>
        <v>0</v>
      </c>
      <c r="AS33" s="74">
        <f t="shared" si="36"/>
        <v>0</v>
      </c>
      <c r="AT33" s="144">
        <f t="shared" si="37"/>
        <v>0</v>
      </c>
      <c r="AU33" s="157"/>
      <c r="AV33" s="48"/>
      <c r="AW33" s="127">
        <f t="shared" si="41"/>
        <v>0</v>
      </c>
      <c r="AX33" s="138">
        <f t="shared" si="42"/>
        <v>0</v>
      </c>
      <c r="AY33" s="23"/>
    </row>
    <row r="34" spans="1:51" x14ac:dyDescent="0.2">
      <c r="A34" s="13"/>
      <c r="B34" s="129">
        <f t="shared" si="0"/>
        <v>0</v>
      </c>
      <c r="C34" s="129"/>
      <c r="D34" s="129"/>
      <c r="E34" s="129"/>
      <c r="F34" s="185"/>
      <c r="G34" s="162"/>
      <c r="H34" s="189"/>
      <c r="I34" s="169"/>
      <c r="J34" s="131"/>
      <c r="K34" s="3">
        <f t="shared" si="11"/>
        <v>0</v>
      </c>
      <c r="L34" s="52">
        <f t="shared" si="12"/>
        <v>0</v>
      </c>
      <c r="M34" s="97">
        <f t="shared" si="25"/>
        <v>26</v>
      </c>
      <c r="N34" s="211"/>
      <c r="O34" s="3">
        <f t="shared" si="13"/>
        <v>0</v>
      </c>
      <c r="P34" s="72">
        <f t="shared" si="14"/>
        <v>0</v>
      </c>
      <c r="Q34" s="81">
        <f t="shared" si="15"/>
        <v>0</v>
      </c>
      <c r="R34" s="76">
        <f t="shared" si="16"/>
        <v>86</v>
      </c>
      <c r="S34" s="216"/>
      <c r="T34" s="3">
        <f t="shared" si="1"/>
        <v>0</v>
      </c>
      <c r="U34" s="72">
        <f t="shared" si="31"/>
        <v>0</v>
      </c>
      <c r="V34" s="81">
        <f t="shared" si="17"/>
        <v>0</v>
      </c>
      <c r="W34" s="76">
        <f t="shared" si="38"/>
        <v>146</v>
      </c>
      <c r="X34" s="214"/>
      <c r="Y34" s="3">
        <f t="shared" si="3"/>
        <v>0</v>
      </c>
      <c r="Z34" s="72">
        <f t="shared" si="4"/>
        <v>0</v>
      </c>
      <c r="AA34" s="81">
        <f t="shared" si="18"/>
        <v>0</v>
      </c>
      <c r="AB34" s="76">
        <f t="shared" si="26"/>
        <v>206</v>
      </c>
      <c r="AC34" s="214"/>
      <c r="AD34" s="3">
        <f t="shared" si="5"/>
        <v>0</v>
      </c>
      <c r="AE34" s="72">
        <f t="shared" si="6"/>
        <v>0</v>
      </c>
      <c r="AF34" s="81">
        <f t="shared" si="19"/>
        <v>0</v>
      </c>
      <c r="AG34" s="76">
        <f t="shared" si="27"/>
        <v>266</v>
      </c>
      <c r="AH34" s="211"/>
      <c r="AI34" s="33">
        <f t="shared" si="7"/>
        <v>0</v>
      </c>
      <c r="AJ34" s="74">
        <f t="shared" si="8"/>
        <v>0</v>
      </c>
      <c r="AK34" s="75">
        <f t="shared" si="20"/>
        <v>0</v>
      </c>
      <c r="AL34" s="175">
        <f t="shared" si="28"/>
        <v>326</v>
      </c>
      <c r="AM34" s="216"/>
      <c r="AN34" s="33">
        <f t="shared" si="9"/>
        <v>0</v>
      </c>
      <c r="AO34" s="74">
        <f t="shared" si="10"/>
        <v>0</v>
      </c>
      <c r="AP34" s="177">
        <f t="shared" si="21"/>
        <v>0</v>
      </c>
      <c r="AQ34" s="76">
        <f t="shared" si="29"/>
        <v>386</v>
      </c>
      <c r="AR34" s="33">
        <f t="shared" si="22"/>
        <v>0</v>
      </c>
      <c r="AS34" s="74">
        <f t="shared" si="36"/>
        <v>0</v>
      </c>
      <c r="AT34" s="144">
        <f t="shared" si="37"/>
        <v>0</v>
      </c>
      <c r="AU34" s="157"/>
      <c r="AV34" s="48"/>
      <c r="AW34" s="127">
        <f t="shared" si="39"/>
        <v>0</v>
      </c>
      <c r="AX34" s="138">
        <f t="shared" si="40"/>
        <v>0</v>
      </c>
      <c r="AY34" s="23"/>
    </row>
    <row r="35" spans="1:51" ht="16.5" customHeight="1" x14ac:dyDescent="0.2">
      <c r="A35" s="13"/>
      <c r="B35" s="129">
        <f t="shared" si="0"/>
        <v>0</v>
      </c>
      <c r="C35" s="203"/>
      <c r="D35" s="203"/>
      <c r="E35" s="203"/>
      <c r="F35" s="186"/>
      <c r="G35" s="163"/>
      <c r="H35" s="189"/>
      <c r="I35" s="170"/>
      <c r="J35" s="131"/>
      <c r="K35" s="3">
        <f t="shared" si="11"/>
        <v>0</v>
      </c>
      <c r="L35" s="52">
        <f t="shared" si="12"/>
        <v>0</v>
      </c>
      <c r="M35" s="97">
        <f t="shared" si="25"/>
        <v>27</v>
      </c>
      <c r="N35" s="211">
        <v>14</v>
      </c>
      <c r="O35" s="3">
        <f t="shared" si="13"/>
        <v>0</v>
      </c>
      <c r="P35" s="72">
        <f t="shared" si="14"/>
        <v>0</v>
      </c>
      <c r="Q35" s="81">
        <f t="shared" si="15"/>
        <v>0</v>
      </c>
      <c r="R35" s="76">
        <f t="shared" si="16"/>
        <v>87</v>
      </c>
      <c r="S35" s="215">
        <v>44</v>
      </c>
      <c r="T35" s="3">
        <f t="shared" si="1"/>
        <v>0</v>
      </c>
      <c r="U35" s="72">
        <f t="shared" si="31"/>
        <v>0</v>
      </c>
      <c r="V35" s="81">
        <f t="shared" si="17"/>
        <v>0</v>
      </c>
      <c r="W35" s="76">
        <f t="shared" si="38"/>
        <v>147</v>
      </c>
      <c r="X35" s="213">
        <v>74</v>
      </c>
      <c r="Y35" s="3">
        <f t="shared" si="3"/>
        <v>0</v>
      </c>
      <c r="Z35" s="72">
        <f t="shared" si="4"/>
        <v>0</v>
      </c>
      <c r="AA35" s="81">
        <f t="shared" si="18"/>
        <v>0</v>
      </c>
      <c r="AB35" s="76">
        <f t="shared" si="26"/>
        <v>207</v>
      </c>
      <c r="AC35" s="213">
        <v>104</v>
      </c>
      <c r="AD35" s="3">
        <f t="shared" si="5"/>
        <v>0</v>
      </c>
      <c r="AE35" s="72">
        <f t="shared" si="6"/>
        <v>0</v>
      </c>
      <c r="AF35" s="81">
        <f t="shared" si="19"/>
        <v>0</v>
      </c>
      <c r="AG35" s="76">
        <f t="shared" si="27"/>
        <v>267</v>
      </c>
      <c r="AH35" s="211">
        <v>134</v>
      </c>
      <c r="AI35" s="3">
        <f t="shared" si="7"/>
        <v>0</v>
      </c>
      <c r="AJ35" s="72">
        <f t="shared" si="8"/>
        <v>0</v>
      </c>
      <c r="AK35" s="81">
        <f t="shared" si="20"/>
        <v>0</v>
      </c>
      <c r="AL35" s="175">
        <f t="shared" si="28"/>
        <v>327</v>
      </c>
      <c r="AM35" s="215">
        <v>164</v>
      </c>
      <c r="AN35" s="33">
        <f t="shared" si="9"/>
        <v>0</v>
      </c>
      <c r="AO35" s="74">
        <f t="shared" si="10"/>
        <v>0</v>
      </c>
      <c r="AP35" s="177">
        <f t="shared" si="21"/>
        <v>0</v>
      </c>
      <c r="AQ35" s="76">
        <f t="shared" si="29"/>
        <v>387</v>
      </c>
      <c r="AR35" s="33">
        <f t="shared" si="22"/>
        <v>0</v>
      </c>
      <c r="AS35" s="74">
        <f t="shared" si="36"/>
        <v>0</v>
      </c>
      <c r="AT35" s="144">
        <f t="shared" si="37"/>
        <v>0</v>
      </c>
      <c r="AU35" s="60"/>
      <c r="AV35" s="48"/>
      <c r="AW35" s="56">
        <f t="shared" si="39"/>
        <v>0</v>
      </c>
      <c r="AX35" s="56">
        <f t="shared" si="40"/>
        <v>0</v>
      </c>
      <c r="AY35" s="23"/>
    </row>
    <row r="36" spans="1:51" x14ac:dyDescent="0.2">
      <c r="A36" s="13"/>
      <c r="B36" s="129">
        <f t="shared" si="0"/>
        <v>0</v>
      </c>
      <c r="C36" s="129"/>
      <c r="D36" s="129"/>
      <c r="E36" s="129"/>
      <c r="F36" s="185"/>
      <c r="G36" s="162"/>
      <c r="H36" s="189"/>
      <c r="I36" s="169"/>
      <c r="J36" s="131"/>
      <c r="K36" s="3">
        <f t="shared" si="11"/>
        <v>0</v>
      </c>
      <c r="L36" s="52">
        <f t="shared" si="12"/>
        <v>0</v>
      </c>
      <c r="M36" s="97">
        <f t="shared" si="25"/>
        <v>28</v>
      </c>
      <c r="N36" s="211"/>
      <c r="O36" s="3">
        <f t="shared" si="13"/>
        <v>0</v>
      </c>
      <c r="P36" s="72">
        <f t="shared" si="14"/>
        <v>0</v>
      </c>
      <c r="Q36" s="81">
        <f t="shared" si="15"/>
        <v>0</v>
      </c>
      <c r="R36" s="76">
        <f t="shared" si="16"/>
        <v>88</v>
      </c>
      <c r="S36" s="216"/>
      <c r="T36" s="3">
        <f t="shared" si="1"/>
        <v>0</v>
      </c>
      <c r="U36" s="72">
        <f t="shared" si="31"/>
        <v>0</v>
      </c>
      <c r="V36" s="81">
        <f t="shared" si="17"/>
        <v>0</v>
      </c>
      <c r="W36" s="76">
        <f t="shared" si="38"/>
        <v>148</v>
      </c>
      <c r="X36" s="214"/>
      <c r="Y36" s="3">
        <f t="shared" si="3"/>
        <v>0</v>
      </c>
      <c r="Z36" s="72">
        <f t="shared" si="4"/>
        <v>0</v>
      </c>
      <c r="AA36" s="81">
        <f t="shared" si="18"/>
        <v>0</v>
      </c>
      <c r="AB36" s="76">
        <f t="shared" si="26"/>
        <v>208</v>
      </c>
      <c r="AC36" s="214"/>
      <c r="AD36" s="3">
        <f t="shared" si="5"/>
        <v>0</v>
      </c>
      <c r="AE36" s="72">
        <f t="shared" si="6"/>
        <v>0</v>
      </c>
      <c r="AF36" s="81">
        <f t="shared" si="19"/>
        <v>0</v>
      </c>
      <c r="AG36" s="76">
        <f t="shared" si="27"/>
        <v>268</v>
      </c>
      <c r="AH36" s="211"/>
      <c r="AI36" s="3">
        <f t="shared" si="7"/>
        <v>0</v>
      </c>
      <c r="AJ36" s="72">
        <f t="shared" si="8"/>
        <v>0</v>
      </c>
      <c r="AK36" s="81">
        <f t="shared" si="20"/>
        <v>0</v>
      </c>
      <c r="AL36" s="175">
        <f t="shared" si="28"/>
        <v>328</v>
      </c>
      <c r="AM36" s="216"/>
      <c r="AN36" s="33">
        <f t="shared" si="9"/>
        <v>0</v>
      </c>
      <c r="AO36" s="74">
        <f t="shared" si="10"/>
        <v>0</v>
      </c>
      <c r="AP36" s="177">
        <f t="shared" si="21"/>
        <v>0</v>
      </c>
      <c r="AQ36" s="76">
        <f t="shared" si="29"/>
        <v>388</v>
      </c>
      <c r="AR36" s="33">
        <f t="shared" si="22"/>
        <v>0</v>
      </c>
      <c r="AS36" s="74">
        <f t="shared" si="36"/>
        <v>0</v>
      </c>
      <c r="AT36" s="144">
        <f t="shared" si="37"/>
        <v>0</v>
      </c>
      <c r="AU36" s="60"/>
      <c r="AV36" s="48"/>
      <c r="AW36" s="56">
        <f t="shared" si="39"/>
        <v>0</v>
      </c>
      <c r="AX36" s="56">
        <f t="shared" si="40"/>
        <v>0</v>
      </c>
      <c r="AY36" s="23"/>
    </row>
    <row r="37" spans="1:51" x14ac:dyDescent="0.2">
      <c r="A37" s="13"/>
      <c r="B37" s="129">
        <f t="shared" si="0"/>
        <v>0</v>
      </c>
      <c r="C37" s="129"/>
      <c r="D37" s="129"/>
      <c r="E37" s="129"/>
      <c r="F37" s="187"/>
      <c r="G37" s="162"/>
      <c r="H37" s="189"/>
      <c r="I37" s="169"/>
      <c r="J37" s="131"/>
      <c r="K37" s="3">
        <f t="shared" si="11"/>
        <v>0</v>
      </c>
      <c r="L37" s="52">
        <f t="shared" si="12"/>
        <v>0</v>
      </c>
      <c r="M37" s="97">
        <f t="shared" si="25"/>
        <v>29</v>
      </c>
      <c r="N37" s="211">
        <v>15</v>
      </c>
      <c r="O37" s="3">
        <f t="shared" si="13"/>
        <v>0</v>
      </c>
      <c r="P37" s="72">
        <f t="shared" si="14"/>
        <v>0</v>
      </c>
      <c r="Q37" s="81">
        <f t="shared" si="15"/>
        <v>0</v>
      </c>
      <c r="R37" s="76">
        <f t="shared" si="16"/>
        <v>89</v>
      </c>
      <c r="S37" s="215">
        <v>45</v>
      </c>
      <c r="T37" s="3">
        <f t="shared" si="1"/>
        <v>0</v>
      </c>
      <c r="U37" s="72">
        <f t="shared" si="31"/>
        <v>0</v>
      </c>
      <c r="V37" s="81">
        <f t="shared" si="17"/>
        <v>0</v>
      </c>
      <c r="W37" s="76">
        <f t="shared" si="38"/>
        <v>149</v>
      </c>
      <c r="X37" s="213">
        <v>75</v>
      </c>
      <c r="Y37" s="3">
        <f t="shared" si="3"/>
        <v>0</v>
      </c>
      <c r="Z37" s="72">
        <f t="shared" si="4"/>
        <v>0</v>
      </c>
      <c r="AA37" s="81">
        <f t="shared" si="18"/>
        <v>0</v>
      </c>
      <c r="AB37" s="76">
        <f t="shared" si="26"/>
        <v>209</v>
      </c>
      <c r="AC37" s="213">
        <v>105</v>
      </c>
      <c r="AD37" s="3">
        <f t="shared" si="5"/>
        <v>0</v>
      </c>
      <c r="AE37" s="72">
        <f t="shared" si="6"/>
        <v>0</v>
      </c>
      <c r="AF37" s="81">
        <f t="shared" si="19"/>
        <v>0</v>
      </c>
      <c r="AG37" s="76">
        <f t="shared" si="27"/>
        <v>269</v>
      </c>
      <c r="AH37" s="211">
        <v>135</v>
      </c>
      <c r="AI37" s="3">
        <f t="shared" si="7"/>
        <v>0</v>
      </c>
      <c r="AJ37" s="72">
        <f t="shared" si="8"/>
        <v>0</v>
      </c>
      <c r="AK37" s="81">
        <f t="shared" si="20"/>
        <v>0</v>
      </c>
      <c r="AL37" s="175">
        <f t="shared" si="28"/>
        <v>329</v>
      </c>
      <c r="AM37" s="215">
        <v>165</v>
      </c>
      <c r="AN37" s="33">
        <f t="shared" si="9"/>
        <v>0</v>
      </c>
      <c r="AO37" s="74">
        <f t="shared" si="10"/>
        <v>0</v>
      </c>
      <c r="AP37" s="177">
        <f t="shared" si="21"/>
        <v>0</v>
      </c>
      <c r="AQ37" s="76">
        <f t="shared" si="29"/>
        <v>389</v>
      </c>
      <c r="AR37" s="33">
        <f t="shared" si="22"/>
        <v>0</v>
      </c>
      <c r="AS37" s="74">
        <f t="shared" si="36"/>
        <v>0</v>
      </c>
      <c r="AT37" s="144">
        <f t="shared" si="37"/>
        <v>0</v>
      </c>
      <c r="AU37" s="60"/>
      <c r="AV37" s="48"/>
      <c r="AW37" s="56">
        <f t="shared" si="39"/>
        <v>0</v>
      </c>
      <c r="AX37" s="56">
        <f t="shared" si="40"/>
        <v>0</v>
      </c>
      <c r="AY37" s="23"/>
    </row>
    <row r="38" spans="1:51" x14ac:dyDescent="0.2">
      <c r="A38" s="13"/>
      <c r="B38" s="129">
        <f t="shared" si="0"/>
        <v>0</v>
      </c>
      <c r="C38" s="129"/>
      <c r="D38" s="129"/>
      <c r="E38" s="129"/>
      <c r="F38" s="185"/>
      <c r="G38" s="162"/>
      <c r="H38" s="189"/>
      <c r="I38" s="169"/>
      <c r="J38" s="131"/>
      <c r="K38" s="9">
        <f t="shared" si="11"/>
        <v>0</v>
      </c>
      <c r="L38" s="52">
        <f t="shared" si="12"/>
        <v>0</v>
      </c>
      <c r="M38" s="98">
        <f t="shared" si="25"/>
        <v>30</v>
      </c>
      <c r="N38" s="211"/>
      <c r="O38" s="53">
        <f t="shared" si="13"/>
        <v>0</v>
      </c>
      <c r="P38" s="53">
        <f t="shared" si="14"/>
        <v>0</v>
      </c>
      <c r="Q38" s="86">
        <f t="shared" si="15"/>
        <v>0</v>
      </c>
      <c r="R38" s="91">
        <f t="shared" si="16"/>
        <v>90</v>
      </c>
      <c r="S38" s="216"/>
      <c r="T38" s="53">
        <f t="shared" si="1"/>
        <v>0</v>
      </c>
      <c r="U38" s="53">
        <f t="shared" si="31"/>
        <v>0</v>
      </c>
      <c r="V38" s="83">
        <f t="shared" si="17"/>
        <v>0</v>
      </c>
      <c r="W38" s="91">
        <f t="shared" si="38"/>
        <v>150</v>
      </c>
      <c r="X38" s="214"/>
      <c r="Y38" s="53">
        <f t="shared" si="3"/>
        <v>0</v>
      </c>
      <c r="Z38" s="53">
        <f t="shared" si="4"/>
        <v>0</v>
      </c>
      <c r="AA38" s="86">
        <f t="shared" si="18"/>
        <v>0</v>
      </c>
      <c r="AB38" s="91">
        <f t="shared" si="26"/>
        <v>210</v>
      </c>
      <c r="AC38" s="214"/>
      <c r="AD38" s="53">
        <f t="shared" si="5"/>
        <v>0</v>
      </c>
      <c r="AE38" s="53">
        <f t="shared" si="6"/>
        <v>0</v>
      </c>
      <c r="AF38" s="86">
        <f t="shared" si="19"/>
        <v>0</v>
      </c>
      <c r="AG38" s="158">
        <f t="shared" si="27"/>
        <v>270</v>
      </c>
      <c r="AH38" s="211"/>
      <c r="AI38" s="53">
        <f t="shared" si="7"/>
        <v>0</v>
      </c>
      <c r="AJ38" s="53">
        <f t="shared" si="8"/>
        <v>0</v>
      </c>
      <c r="AK38" s="159">
        <f t="shared" si="20"/>
        <v>0</v>
      </c>
      <c r="AL38" s="175">
        <f t="shared" si="28"/>
        <v>330</v>
      </c>
      <c r="AM38" s="216"/>
      <c r="AN38" s="53">
        <f t="shared" si="9"/>
        <v>0</v>
      </c>
      <c r="AO38" s="53">
        <f t="shared" si="10"/>
        <v>0</v>
      </c>
      <c r="AP38" s="177">
        <f t="shared" si="21"/>
        <v>0</v>
      </c>
      <c r="AQ38" s="76">
        <f t="shared" si="29"/>
        <v>390</v>
      </c>
      <c r="AR38" s="53">
        <f t="shared" si="22"/>
        <v>0</v>
      </c>
      <c r="AS38" s="53">
        <f t="shared" si="36"/>
        <v>0</v>
      </c>
      <c r="AT38" s="150">
        <f t="shared" si="37"/>
        <v>0</v>
      </c>
      <c r="AU38" s="60"/>
      <c r="AV38" s="48"/>
      <c r="AW38" s="56">
        <f t="shared" si="39"/>
        <v>0</v>
      </c>
      <c r="AX38" s="56">
        <f t="shared" si="40"/>
        <v>0</v>
      </c>
      <c r="AY38" s="23"/>
    </row>
    <row r="39" spans="1:51" x14ac:dyDescent="0.2">
      <c r="A39" s="13"/>
      <c r="B39" s="129">
        <f t="shared" si="0"/>
        <v>0</v>
      </c>
      <c r="C39" s="129"/>
      <c r="D39" s="129"/>
      <c r="E39" s="129"/>
      <c r="F39" s="185"/>
      <c r="G39" s="162"/>
      <c r="H39" s="189"/>
      <c r="I39" s="169"/>
      <c r="J39" s="131"/>
      <c r="K39" s="5">
        <f t="shared" si="11"/>
        <v>0</v>
      </c>
      <c r="L39" s="52">
        <f t="shared" si="12"/>
        <v>0</v>
      </c>
      <c r="M39" s="96">
        <f t="shared" si="25"/>
        <v>31</v>
      </c>
      <c r="N39" s="211">
        <v>16</v>
      </c>
      <c r="O39" s="3">
        <f t="shared" si="13"/>
        <v>0</v>
      </c>
      <c r="P39" s="73">
        <f t="shared" si="14"/>
        <v>0</v>
      </c>
      <c r="Q39" s="81">
        <f t="shared" si="15"/>
        <v>0</v>
      </c>
      <c r="R39" s="90">
        <f t="shared" si="16"/>
        <v>91</v>
      </c>
      <c r="S39" s="215">
        <v>46</v>
      </c>
      <c r="T39" s="3">
        <f t="shared" si="1"/>
        <v>0</v>
      </c>
      <c r="U39" s="73">
        <f t="shared" si="31"/>
        <v>0</v>
      </c>
      <c r="V39" s="81">
        <f t="shared" si="17"/>
        <v>0</v>
      </c>
      <c r="W39" s="90">
        <f t="shared" si="38"/>
        <v>151</v>
      </c>
      <c r="X39" s="213">
        <v>76</v>
      </c>
      <c r="Y39" s="3">
        <f t="shared" si="3"/>
        <v>0</v>
      </c>
      <c r="Z39" s="73">
        <f t="shared" si="4"/>
        <v>0</v>
      </c>
      <c r="AA39" s="81">
        <f t="shared" si="18"/>
        <v>0</v>
      </c>
      <c r="AB39" s="90">
        <f t="shared" si="26"/>
        <v>211</v>
      </c>
      <c r="AC39" s="213">
        <v>106</v>
      </c>
      <c r="AD39" s="3">
        <f t="shared" si="5"/>
        <v>0</v>
      </c>
      <c r="AE39" s="73">
        <f t="shared" si="6"/>
        <v>0</v>
      </c>
      <c r="AF39" s="81">
        <f t="shared" si="19"/>
        <v>0</v>
      </c>
      <c r="AG39" s="158">
        <f t="shared" si="27"/>
        <v>271</v>
      </c>
      <c r="AH39" s="211">
        <v>136</v>
      </c>
      <c r="AI39" s="3">
        <f t="shared" si="7"/>
        <v>0</v>
      </c>
      <c r="AJ39" s="73">
        <f t="shared" si="8"/>
        <v>0</v>
      </c>
      <c r="AK39" s="159">
        <f t="shared" si="20"/>
        <v>0</v>
      </c>
      <c r="AL39" s="158">
        <f t="shared" si="28"/>
        <v>331</v>
      </c>
      <c r="AM39" s="215">
        <v>166</v>
      </c>
      <c r="AN39" s="190">
        <f t="shared" si="9"/>
        <v>0</v>
      </c>
      <c r="AO39" s="191">
        <f t="shared" si="10"/>
        <v>0</v>
      </c>
      <c r="AP39" s="177">
        <f t="shared" si="21"/>
        <v>0</v>
      </c>
      <c r="AQ39" s="76">
        <f t="shared" si="29"/>
        <v>391</v>
      </c>
      <c r="AR39" s="121">
        <f t="shared" si="22"/>
        <v>0</v>
      </c>
      <c r="AS39" s="122">
        <f t="shared" si="36"/>
        <v>0</v>
      </c>
      <c r="AT39" s="144">
        <f t="shared" si="37"/>
        <v>0</v>
      </c>
      <c r="AU39" s="60"/>
      <c r="AV39" s="48"/>
      <c r="AW39" s="56">
        <f t="shared" si="34"/>
        <v>0</v>
      </c>
      <c r="AX39" s="56">
        <f t="shared" si="35"/>
        <v>0</v>
      </c>
      <c r="AY39" s="23"/>
    </row>
    <row r="40" spans="1:51" x14ac:dyDescent="0.2">
      <c r="A40" s="13"/>
      <c r="B40" s="129">
        <f t="shared" si="0"/>
        <v>0</v>
      </c>
      <c r="C40" s="129"/>
      <c r="D40" s="129"/>
      <c r="E40" s="129"/>
      <c r="F40" s="185"/>
      <c r="G40" s="162"/>
      <c r="H40" s="189"/>
      <c r="I40" s="169"/>
      <c r="J40" s="131"/>
      <c r="K40" s="3">
        <f t="shared" si="11"/>
        <v>0</v>
      </c>
      <c r="L40" s="52">
        <f t="shared" si="12"/>
        <v>0</v>
      </c>
      <c r="M40" s="97">
        <f t="shared" si="25"/>
        <v>32</v>
      </c>
      <c r="N40" s="211"/>
      <c r="O40" s="3">
        <f t="shared" si="13"/>
        <v>0</v>
      </c>
      <c r="P40" s="72">
        <f t="shared" si="14"/>
        <v>0</v>
      </c>
      <c r="Q40" s="81">
        <f t="shared" si="15"/>
        <v>0</v>
      </c>
      <c r="R40" s="76">
        <f t="shared" si="16"/>
        <v>92</v>
      </c>
      <c r="S40" s="216"/>
      <c r="T40" s="3">
        <f t="shared" si="1"/>
        <v>0</v>
      </c>
      <c r="U40" s="72">
        <f t="shared" si="31"/>
        <v>0</v>
      </c>
      <c r="V40" s="81">
        <f t="shared" si="17"/>
        <v>0</v>
      </c>
      <c r="W40" s="76">
        <f t="shared" si="38"/>
        <v>152</v>
      </c>
      <c r="X40" s="214"/>
      <c r="Y40" s="3">
        <f t="shared" si="3"/>
        <v>0</v>
      </c>
      <c r="Z40" s="72">
        <f t="shared" si="4"/>
        <v>0</v>
      </c>
      <c r="AA40" s="81">
        <f t="shared" si="18"/>
        <v>0</v>
      </c>
      <c r="AB40" s="76">
        <f t="shared" si="26"/>
        <v>212</v>
      </c>
      <c r="AC40" s="214"/>
      <c r="AD40" s="3">
        <f t="shared" si="5"/>
        <v>0</v>
      </c>
      <c r="AE40" s="72">
        <f t="shared" si="6"/>
        <v>0</v>
      </c>
      <c r="AF40" s="81">
        <f t="shared" si="19"/>
        <v>0</v>
      </c>
      <c r="AG40" s="178">
        <f t="shared" si="27"/>
        <v>272</v>
      </c>
      <c r="AH40" s="211"/>
      <c r="AI40" s="3">
        <f t="shared" si="7"/>
        <v>0</v>
      </c>
      <c r="AJ40" s="72">
        <f t="shared" si="8"/>
        <v>0</v>
      </c>
      <c r="AK40" s="176">
        <f t="shared" si="20"/>
        <v>0</v>
      </c>
      <c r="AL40" s="76">
        <f t="shared" si="28"/>
        <v>332</v>
      </c>
      <c r="AM40" s="216"/>
      <c r="AN40" s="33">
        <f t="shared" si="9"/>
        <v>0</v>
      </c>
      <c r="AO40" s="74">
        <f t="shared" si="10"/>
        <v>0</v>
      </c>
      <c r="AP40" s="75">
        <f t="shared" si="21"/>
        <v>0</v>
      </c>
      <c r="AQ40" s="76">
        <f t="shared" si="29"/>
        <v>392</v>
      </c>
      <c r="AR40" s="33">
        <f t="shared" si="22"/>
        <v>0</v>
      </c>
      <c r="AS40" s="74">
        <f t="shared" si="36"/>
        <v>0</v>
      </c>
      <c r="AT40" s="144">
        <f t="shared" si="37"/>
        <v>0</v>
      </c>
      <c r="AU40" s="60"/>
      <c r="AV40" s="48"/>
      <c r="AW40" s="56">
        <f t="shared" si="34"/>
        <v>0</v>
      </c>
      <c r="AX40" s="56">
        <f t="shared" si="35"/>
        <v>0</v>
      </c>
      <c r="AY40" s="23"/>
    </row>
    <row r="41" spans="1:51" x14ac:dyDescent="0.2">
      <c r="A41" s="13"/>
      <c r="B41" s="129">
        <f t="shared" si="0"/>
        <v>0</v>
      </c>
      <c r="C41" s="129"/>
      <c r="D41" s="129"/>
      <c r="E41" s="129"/>
      <c r="F41" s="185"/>
      <c r="G41" s="162"/>
      <c r="H41" s="189"/>
      <c r="I41" s="169"/>
      <c r="J41" s="131"/>
      <c r="K41" s="3">
        <f t="shared" si="11"/>
        <v>0</v>
      </c>
      <c r="L41" s="52">
        <f t="shared" si="12"/>
        <v>0</v>
      </c>
      <c r="M41" s="97">
        <f t="shared" si="25"/>
        <v>33</v>
      </c>
      <c r="N41" s="211">
        <v>17</v>
      </c>
      <c r="O41" s="3">
        <f t="shared" si="13"/>
        <v>0</v>
      </c>
      <c r="P41" s="72">
        <f t="shared" si="14"/>
        <v>0</v>
      </c>
      <c r="Q41" s="81">
        <f t="shared" si="15"/>
        <v>0</v>
      </c>
      <c r="R41" s="76">
        <f t="shared" si="16"/>
        <v>93</v>
      </c>
      <c r="S41" s="215">
        <v>47</v>
      </c>
      <c r="T41" s="3">
        <f t="shared" ref="T41:T68" si="45">J101</f>
        <v>0</v>
      </c>
      <c r="U41" s="72">
        <f t="shared" si="31"/>
        <v>0</v>
      </c>
      <c r="V41" s="81">
        <f t="shared" si="17"/>
        <v>0</v>
      </c>
      <c r="W41" s="76">
        <f t="shared" si="38"/>
        <v>153</v>
      </c>
      <c r="X41" s="213">
        <v>77</v>
      </c>
      <c r="Y41" s="3">
        <f t="shared" ref="Y41:Y68" si="46">J161</f>
        <v>0</v>
      </c>
      <c r="Z41" s="72">
        <f t="shared" si="4"/>
        <v>0</v>
      </c>
      <c r="AA41" s="81">
        <f t="shared" si="18"/>
        <v>0</v>
      </c>
      <c r="AB41" s="76">
        <f t="shared" si="26"/>
        <v>213</v>
      </c>
      <c r="AC41" s="215">
        <v>107</v>
      </c>
      <c r="AD41" s="208">
        <f t="shared" ref="AD41:AD68" si="47">J221</f>
        <v>0</v>
      </c>
      <c r="AE41" s="72">
        <f t="shared" si="6"/>
        <v>0</v>
      </c>
      <c r="AF41" s="209">
        <f t="shared" si="19"/>
        <v>0</v>
      </c>
      <c r="AG41" s="178">
        <f t="shared" si="27"/>
        <v>273</v>
      </c>
      <c r="AH41" s="211">
        <v>137</v>
      </c>
      <c r="AI41" s="3">
        <f t="shared" ref="AI41:AI68" si="48">J281</f>
        <v>0</v>
      </c>
      <c r="AJ41" s="72">
        <f t="shared" si="8"/>
        <v>0</v>
      </c>
      <c r="AK41" s="176">
        <f t="shared" si="20"/>
        <v>0</v>
      </c>
      <c r="AL41" s="76">
        <f t="shared" si="28"/>
        <v>333</v>
      </c>
      <c r="AM41" s="215">
        <v>167</v>
      </c>
      <c r="AN41" s="33">
        <f t="shared" ref="AN41:AN68" si="49">J341</f>
        <v>0</v>
      </c>
      <c r="AO41" s="74">
        <f t="shared" si="10"/>
        <v>0</v>
      </c>
      <c r="AP41" s="75">
        <f t="shared" si="21"/>
        <v>0</v>
      </c>
      <c r="AQ41" s="76">
        <f t="shared" si="29"/>
        <v>393</v>
      </c>
      <c r="AR41" s="33">
        <f t="shared" si="22"/>
        <v>0</v>
      </c>
      <c r="AS41" s="74">
        <f t="shared" si="36"/>
        <v>0</v>
      </c>
      <c r="AT41" s="144">
        <f t="shared" si="37"/>
        <v>0</v>
      </c>
      <c r="AU41" s="65"/>
      <c r="AV41" s="48"/>
      <c r="AW41" s="56">
        <f t="shared" si="34"/>
        <v>0</v>
      </c>
      <c r="AX41" s="56">
        <f t="shared" si="35"/>
        <v>0</v>
      </c>
      <c r="AY41" s="23"/>
    </row>
    <row r="42" spans="1:51" x14ac:dyDescent="0.2">
      <c r="A42" s="13"/>
      <c r="B42" s="129">
        <f t="shared" si="0"/>
        <v>0</v>
      </c>
      <c r="C42" s="203"/>
      <c r="D42" s="203"/>
      <c r="E42" s="203"/>
      <c r="F42" s="186"/>
      <c r="G42" s="163"/>
      <c r="H42" s="189"/>
      <c r="I42" s="170"/>
      <c r="J42" s="131"/>
      <c r="K42" s="3">
        <f t="shared" si="11"/>
        <v>0</v>
      </c>
      <c r="L42" s="52">
        <f t="shared" si="12"/>
        <v>0</v>
      </c>
      <c r="M42" s="97">
        <f t="shared" si="25"/>
        <v>34</v>
      </c>
      <c r="N42" s="211"/>
      <c r="O42" s="3">
        <f t="shared" ref="O42:O68" si="50">J42</f>
        <v>0</v>
      </c>
      <c r="P42" s="72">
        <f t="shared" si="14"/>
        <v>0</v>
      </c>
      <c r="Q42" s="81">
        <f t="shared" si="15"/>
        <v>0</v>
      </c>
      <c r="R42" s="76">
        <f t="shared" si="16"/>
        <v>94</v>
      </c>
      <c r="S42" s="216"/>
      <c r="T42" s="3">
        <f t="shared" si="45"/>
        <v>0</v>
      </c>
      <c r="U42" s="72">
        <f t="shared" si="31"/>
        <v>0</v>
      </c>
      <c r="V42" s="81">
        <f t="shared" si="17"/>
        <v>0</v>
      </c>
      <c r="W42" s="76">
        <f t="shared" si="38"/>
        <v>154</v>
      </c>
      <c r="X42" s="214"/>
      <c r="Y42" s="3">
        <f t="shared" si="46"/>
        <v>0</v>
      </c>
      <c r="Z42" s="72">
        <f t="shared" si="4"/>
        <v>0</v>
      </c>
      <c r="AA42" s="81">
        <f t="shared" si="18"/>
        <v>0</v>
      </c>
      <c r="AB42" s="76">
        <f t="shared" si="26"/>
        <v>214</v>
      </c>
      <c r="AC42" s="216"/>
      <c r="AD42" s="208">
        <f t="shared" si="47"/>
        <v>0</v>
      </c>
      <c r="AE42" s="72">
        <f t="shared" si="6"/>
        <v>0</v>
      </c>
      <c r="AF42" s="209">
        <f t="shared" si="19"/>
        <v>0</v>
      </c>
      <c r="AG42" s="178">
        <f t="shared" si="27"/>
        <v>274</v>
      </c>
      <c r="AH42" s="211"/>
      <c r="AI42" s="3">
        <f t="shared" si="48"/>
        <v>0</v>
      </c>
      <c r="AJ42" s="72">
        <f t="shared" si="8"/>
        <v>0</v>
      </c>
      <c r="AK42" s="176">
        <f t="shared" si="20"/>
        <v>0</v>
      </c>
      <c r="AL42" s="76">
        <f t="shared" si="28"/>
        <v>334</v>
      </c>
      <c r="AM42" s="216"/>
      <c r="AN42" s="33">
        <f t="shared" si="49"/>
        <v>0</v>
      </c>
      <c r="AO42" s="74">
        <f t="shared" si="10"/>
        <v>0</v>
      </c>
      <c r="AP42" s="75">
        <f t="shared" si="21"/>
        <v>0</v>
      </c>
      <c r="AQ42" s="76">
        <f t="shared" si="29"/>
        <v>394</v>
      </c>
      <c r="AR42" s="33">
        <f t="shared" ref="AR42:AR68" si="51">J402</f>
        <v>0</v>
      </c>
      <c r="AS42" s="74">
        <f t="shared" si="36"/>
        <v>0</v>
      </c>
      <c r="AT42" s="144">
        <f t="shared" si="37"/>
        <v>0</v>
      </c>
      <c r="AU42" s="66"/>
      <c r="AV42" s="69"/>
      <c r="AW42" s="56">
        <f t="shared" si="34"/>
        <v>0</v>
      </c>
      <c r="AX42" s="57">
        <f t="shared" si="35"/>
        <v>0</v>
      </c>
      <c r="AY42" s="23"/>
    </row>
    <row r="43" spans="1:51" ht="15" customHeight="1" x14ac:dyDescent="0.2">
      <c r="A43" s="13"/>
      <c r="B43" s="129">
        <f t="shared" si="0"/>
        <v>0</v>
      </c>
      <c r="C43" s="129"/>
      <c r="D43" s="129"/>
      <c r="E43" s="129"/>
      <c r="F43" s="185"/>
      <c r="G43" s="162"/>
      <c r="H43" s="189"/>
      <c r="I43" s="169"/>
      <c r="J43" s="131"/>
      <c r="K43" s="3">
        <f t="shared" si="11"/>
        <v>0</v>
      </c>
      <c r="L43" s="52">
        <f t="shared" si="12"/>
        <v>0</v>
      </c>
      <c r="M43" s="97">
        <f t="shared" si="25"/>
        <v>35</v>
      </c>
      <c r="N43" s="211">
        <v>18</v>
      </c>
      <c r="O43" s="3">
        <f t="shared" si="50"/>
        <v>0</v>
      </c>
      <c r="P43" s="72">
        <f t="shared" si="14"/>
        <v>0</v>
      </c>
      <c r="Q43" s="81">
        <f t="shared" si="15"/>
        <v>0</v>
      </c>
      <c r="R43" s="76">
        <f t="shared" si="16"/>
        <v>95</v>
      </c>
      <c r="S43" s="215">
        <v>48</v>
      </c>
      <c r="T43" s="3">
        <f t="shared" si="45"/>
        <v>0</v>
      </c>
      <c r="U43" s="72">
        <f t="shared" si="31"/>
        <v>0</v>
      </c>
      <c r="V43" s="81">
        <f t="shared" si="17"/>
        <v>0</v>
      </c>
      <c r="W43" s="76">
        <f t="shared" si="38"/>
        <v>155</v>
      </c>
      <c r="X43" s="213">
        <v>78</v>
      </c>
      <c r="Y43" s="3">
        <f t="shared" si="46"/>
        <v>0</v>
      </c>
      <c r="Z43" s="72">
        <f t="shared" si="4"/>
        <v>0</v>
      </c>
      <c r="AA43" s="81">
        <f t="shared" si="18"/>
        <v>0</v>
      </c>
      <c r="AB43" s="76">
        <f t="shared" si="26"/>
        <v>215</v>
      </c>
      <c r="AC43" s="215">
        <v>108</v>
      </c>
      <c r="AD43" s="208">
        <f t="shared" si="47"/>
        <v>0</v>
      </c>
      <c r="AE43" s="72">
        <f t="shared" si="6"/>
        <v>0</v>
      </c>
      <c r="AF43" s="209">
        <f t="shared" si="19"/>
        <v>0</v>
      </c>
      <c r="AG43" s="178">
        <f t="shared" si="27"/>
        <v>275</v>
      </c>
      <c r="AH43" s="211">
        <v>138</v>
      </c>
      <c r="AI43" s="3">
        <f t="shared" si="48"/>
        <v>0</v>
      </c>
      <c r="AJ43" s="72">
        <f t="shared" si="8"/>
        <v>0</v>
      </c>
      <c r="AK43" s="176">
        <f t="shared" si="20"/>
        <v>0</v>
      </c>
      <c r="AL43" s="76">
        <f t="shared" si="28"/>
        <v>335</v>
      </c>
      <c r="AM43" s="215">
        <v>168</v>
      </c>
      <c r="AN43" s="33">
        <f t="shared" si="49"/>
        <v>0</v>
      </c>
      <c r="AO43" s="74">
        <f t="shared" si="10"/>
        <v>0</v>
      </c>
      <c r="AP43" s="75">
        <f t="shared" si="21"/>
        <v>0</v>
      </c>
      <c r="AQ43" s="76">
        <f t="shared" si="29"/>
        <v>395</v>
      </c>
      <c r="AR43" s="33">
        <f t="shared" si="51"/>
        <v>0</v>
      </c>
      <c r="AS43" s="74">
        <f t="shared" si="36"/>
        <v>0</v>
      </c>
      <c r="AT43" s="144">
        <f t="shared" si="37"/>
        <v>0</v>
      </c>
      <c r="AU43" s="66"/>
      <c r="AV43" s="69"/>
      <c r="AW43" s="56">
        <f t="shared" si="34"/>
        <v>0</v>
      </c>
      <c r="AX43" s="57">
        <f t="shared" si="35"/>
        <v>0</v>
      </c>
      <c r="AY43" s="23"/>
    </row>
    <row r="44" spans="1:51" ht="15" customHeight="1" x14ac:dyDescent="0.2">
      <c r="A44" s="13"/>
      <c r="B44" s="129">
        <f t="shared" si="0"/>
        <v>0</v>
      </c>
      <c r="C44" s="129"/>
      <c r="D44" s="129"/>
      <c r="E44" s="129"/>
      <c r="F44" s="185"/>
      <c r="G44" s="162"/>
      <c r="H44" s="189"/>
      <c r="I44" s="169"/>
      <c r="J44" s="131"/>
      <c r="K44" s="3">
        <f t="shared" si="11"/>
        <v>0</v>
      </c>
      <c r="L44" s="52">
        <f t="shared" si="12"/>
        <v>0</v>
      </c>
      <c r="M44" s="97">
        <f t="shared" si="25"/>
        <v>36</v>
      </c>
      <c r="N44" s="211"/>
      <c r="O44" s="3">
        <f t="shared" si="50"/>
        <v>0</v>
      </c>
      <c r="P44" s="72">
        <f t="shared" si="14"/>
        <v>0</v>
      </c>
      <c r="Q44" s="81">
        <f t="shared" si="15"/>
        <v>0</v>
      </c>
      <c r="R44" s="76">
        <f t="shared" si="16"/>
        <v>96</v>
      </c>
      <c r="S44" s="216"/>
      <c r="T44" s="3">
        <f t="shared" si="45"/>
        <v>0</v>
      </c>
      <c r="U44" s="72">
        <f t="shared" si="31"/>
        <v>0</v>
      </c>
      <c r="V44" s="81">
        <f t="shared" si="17"/>
        <v>0</v>
      </c>
      <c r="W44" s="76">
        <f t="shared" si="38"/>
        <v>156</v>
      </c>
      <c r="X44" s="214"/>
      <c r="Y44" s="3">
        <f t="shared" si="46"/>
        <v>0</v>
      </c>
      <c r="Z44" s="72">
        <f t="shared" si="4"/>
        <v>0</v>
      </c>
      <c r="AA44" s="81">
        <f t="shared" si="18"/>
        <v>0</v>
      </c>
      <c r="AB44" s="76">
        <f t="shared" si="26"/>
        <v>216</v>
      </c>
      <c r="AC44" s="216"/>
      <c r="AD44" s="3">
        <f t="shared" si="47"/>
        <v>0</v>
      </c>
      <c r="AE44" s="72">
        <f t="shared" si="6"/>
        <v>0</v>
      </c>
      <c r="AF44" s="81">
        <f t="shared" si="19"/>
        <v>0</v>
      </c>
      <c r="AG44" s="178">
        <f t="shared" si="27"/>
        <v>276</v>
      </c>
      <c r="AH44" s="211"/>
      <c r="AI44" s="3">
        <f t="shared" si="48"/>
        <v>0</v>
      </c>
      <c r="AJ44" s="72">
        <f t="shared" si="8"/>
        <v>0</v>
      </c>
      <c r="AK44" s="176">
        <f t="shared" si="20"/>
        <v>0</v>
      </c>
      <c r="AL44" s="76">
        <f t="shared" si="28"/>
        <v>336</v>
      </c>
      <c r="AM44" s="216"/>
      <c r="AN44" s="33">
        <f t="shared" si="49"/>
        <v>0</v>
      </c>
      <c r="AO44" s="74">
        <f t="shared" si="10"/>
        <v>0</v>
      </c>
      <c r="AP44" s="75">
        <f t="shared" si="21"/>
        <v>0</v>
      </c>
      <c r="AQ44" s="76">
        <f t="shared" si="29"/>
        <v>396</v>
      </c>
      <c r="AR44" s="33">
        <f t="shared" si="51"/>
        <v>0</v>
      </c>
      <c r="AS44" s="74">
        <f t="shared" si="36"/>
        <v>0</v>
      </c>
      <c r="AT44" s="144">
        <f t="shared" si="37"/>
        <v>0</v>
      </c>
      <c r="AU44" s="66"/>
      <c r="AV44" s="69"/>
      <c r="AW44" s="56">
        <f t="shared" si="34"/>
        <v>0</v>
      </c>
      <c r="AX44" s="57">
        <f t="shared" si="35"/>
        <v>0</v>
      </c>
      <c r="AY44" s="23"/>
    </row>
    <row r="45" spans="1:51" ht="15.75" customHeight="1" x14ac:dyDescent="0.2">
      <c r="A45" s="13"/>
      <c r="B45" s="129">
        <f t="shared" si="0"/>
        <v>0</v>
      </c>
      <c r="C45" s="129"/>
      <c r="D45" s="129"/>
      <c r="E45" s="129"/>
      <c r="F45" s="185"/>
      <c r="G45" s="162"/>
      <c r="H45" s="189"/>
      <c r="I45" s="169"/>
      <c r="J45" s="131"/>
      <c r="K45" s="3">
        <f t="shared" si="11"/>
        <v>0</v>
      </c>
      <c r="L45" s="52">
        <f t="shared" si="12"/>
        <v>0</v>
      </c>
      <c r="M45" s="97">
        <f t="shared" si="25"/>
        <v>37</v>
      </c>
      <c r="N45" s="211">
        <v>19</v>
      </c>
      <c r="O45" s="3">
        <f t="shared" si="50"/>
        <v>0</v>
      </c>
      <c r="P45" s="72">
        <f t="shared" si="14"/>
        <v>0</v>
      </c>
      <c r="Q45" s="81">
        <f t="shared" si="15"/>
        <v>0</v>
      </c>
      <c r="R45" s="76">
        <f t="shared" si="16"/>
        <v>97</v>
      </c>
      <c r="S45" s="215">
        <v>49</v>
      </c>
      <c r="T45" s="3">
        <f t="shared" si="45"/>
        <v>0</v>
      </c>
      <c r="U45" s="72">
        <f t="shared" si="31"/>
        <v>0</v>
      </c>
      <c r="V45" s="81">
        <f t="shared" si="17"/>
        <v>0</v>
      </c>
      <c r="W45" s="76">
        <f t="shared" si="38"/>
        <v>157</v>
      </c>
      <c r="X45" s="213">
        <v>79</v>
      </c>
      <c r="Y45" s="3">
        <f t="shared" si="46"/>
        <v>0</v>
      </c>
      <c r="Z45" s="72">
        <f t="shared" ref="Z45:Z68" si="52">K165</f>
        <v>0</v>
      </c>
      <c r="AA45" s="81">
        <f t="shared" si="18"/>
        <v>0</v>
      </c>
      <c r="AB45" s="76">
        <f t="shared" si="26"/>
        <v>217</v>
      </c>
      <c r="AC45" s="215">
        <v>109</v>
      </c>
      <c r="AD45" s="3">
        <f t="shared" si="47"/>
        <v>0</v>
      </c>
      <c r="AE45" s="72">
        <f t="shared" ref="AE45:AE68" si="53">K225</f>
        <v>0</v>
      </c>
      <c r="AF45" s="81">
        <f t="shared" si="19"/>
        <v>0</v>
      </c>
      <c r="AG45" s="178">
        <f t="shared" si="27"/>
        <v>277</v>
      </c>
      <c r="AH45" s="211">
        <v>139</v>
      </c>
      <c r="AI45" s="3">
        <f t="shared" si="48"/>
        <v>0</v>
      </c>
      <c r="AJ45" s="72">
        <f t="shared" si="8"/>
        <v>0</v>
      </c>
      <c r="AK45" s="176">
        <f t="shared" si="20"/>
        <v>0</v>
      </c>
      <c r="AL45" s="76">
        <f t="shared" si="28"/>
        <v>337</v>
      </c>
      <c r="AM45" s="215">
        <v>169</v>
      </c>
      <c r="AN45" s="33">
        <f t="shared" si="49"/>
        <v>0</v>
      </c>
      <c r="AO45" s="74">
        <f t="shared" ref="AO45:AO68" si="54">K345</f>
        <v>0</v>
      </c>
      <c r="AP45" s="75">
        <f t="shared" si="21"/>
        <v>0</v>
      </c>
      <c r="AQ45" s="76">
        <f t="shared" si="29"/>
        <v>397</v>
      </c>
      <c r="AR45" s="33">
        <f t="shared" si="51"/>
        <v>0</v>
      </c>
      <c r="AS45" s="74">
        <f t="shared" si="36"/>
        <v>0</v>
      </c>
      <c r="AT45" s="144">
        <f t="shared" si="37"/>
        <v>0</v>
      </c>
      <c r="AU45" s="66"/>
      <c r="AV45" s="155"/>
      <c r="AW45" s="56">
        <f t="shared" si="34"/>
        <v>0</v>
      </c>
      <c r="AX45" s="57">
        <f t="shared" si="35"/>
        <v>0</v>
      </c>
      <c r="AY45" s="23"/>
    </row>
    <row r="46" spans="1:51" x14ac:dyDescent="0.2">
      <c r="A46" s="13"/>
      <c r="B46" s="129">
        <f t="shared" si="0"/>
        <v>0</v>
      </c>
      <c r="C46" s="129"/>
      <c r="D46" s="129"/>
      <c r="E46" s="129"/>
      <c r="F46" s="185"/>
      <c r="G46" s="162"/>
      <c r="H46" s="189"/>
      <c r="I46" s="169"/>
      <c r="J46" s="131"/>
      <c r="K46" s="3">
        <f t="shared" si="11"/>
        <v>0</v>
      </c>
      <c r="L46" s="52">
        <f t="shared" si="12"/>
        <v>0</v>
      </c>
      <c r="M46" s="97">
        <f t="shared" si="25"/>
        <v>38</v>
      </c>
      <c r="N46" s="211"/>
      <c r="O46" s="3">
        <f t="shared" si="50"/>
        <v>0</v>
      </c>
      <c r="P46" s="72">
        <f t="shared" si="14"/>
        <v>0</v>
      </c>
      <c r="Q46" s="81">
        <f t="shared" si="15"/>
        <v>0</v>
      </c>
      <c r="R46" s="76">
        <f t="shared" si="16"/>
        <v>98</v>
      </c>
      <c r="S46" s="216"/>
      <c r="T46" s="3">
        <f t="shared" si="45"/>
        <v>0</v>
      </c>
      <c r="U46" s="72">
        <f t="shared" si="31"/>
        <v>0</v>
      </c>
      <c r="V46" s="81">
        <f t="shared" si="17"/>
        <v>0</v>
      </c>
      <c r="W46" s="76">
        <f t="shared" si="38"/>
        <v>158</v>
      </c>
      <c r="X46" s="214"/>
      <c r="Y46" s="3">
        <f t="shared" si="46"/>
        <v>0</v>
      </c>
      <c r="Z46" s="72">
        <f t="shared" si="52"/>
        <v>0</v>
      </c>
      <c r="AA46" s="81">
        <f t="shared" si="18"/>
        <v>0</v>
      </c>
      <c r="AB46" s="76">
        <f t="shared" si="26"/>
        <v>218</v>
      </c>
      <c r="AC46" s="216"/>
      <c r="AD46" s="3">
        <f t="shared" si="47"/>
        <v>0</v>
      </c>
      <c r="AE46" s="72">
        <f t="shared" si="53"/>
        <v>0</v>
      </c>
      <c r="AF46" s="81">
        <f t="shared" si="19"/>
        <v>0</v>
      </c>
      <c r="AG46" s="178">
        <f t="shared" si="27"/>
        <v>278</v>
      </c>
      <c r="AH46" s="211"/>
      <c r="AI46" s="3">
        <f t="shared" si="48"/>
        <v>0</v>
      </c>
      <c r="AJ46" s="72">
        <f t="shared" si="8"/>
        <v>0</v>
      </c>
      <c r="AK46" s="176">
        <f t="shared" si="20"/>
        <v>0</v>
      </c>
      <c r="AL46" s="76">
        <f t="shared" si="28"/>
        <v>338</v>
      </c>
      <c r="AM46" s="216"/>
      <c r="AN46" s="33">
        <f t="shared" si="49"/>
        <v>0</v>
      </c>
      <c r="AO46" s="74">
        <f t="shared" si="54"/>
        <v>0</v>
      </c>
      <c r="AP46" s="75">
        <f t="shared" si="21"/>
        <v>0</v>
      </c>
      <c r="AQ46" s="76">
        <f t="shared" si="29"/>
        <v>398</v>
      </c>
      <c r="AR46" s="33">
        <f t="shared" si="51"/>
        <v>0</v>
      </c>
      <c r="AS46" s="74">
        <f t="shared" si="36"/>
        <v>0</v>
      </c>
      <c r="AT46" s="144">
        <f t="shared" si="37"/>
        <v>0</v>
      </c>
      <c r="AU46" s="66"/>
      <c r="AV46" s="69"/>
      <c r="AW46" s="56">
        <f t="shared" si="34"/>
        <v>0</v>
      </c>
      <c r="AX46" s="57">
        <f t="shared" si="35"/>
        <v>0</v>
      </c>
      <c r="AY46" s="23"/>
    </row>
    <row r="47" spans="1:51" ht="14.25" customHeight="1" x14ac:dyDescent="0.2">
      <c r="A47" s="13"/>
      <c r="B47" s="129">
        <f t="shared" si="0"/>
        <v>0</v>
      </c>
      <c r="C47" s="129"/>
      <c r="D47" s="129"/>
      <c r="E47" s="129"/>
      <c r="F47" s="185"/>
      <c r="G47" s="162"/>
      <c r="H47" s="189"/>
      <c r="I47" s="169"/>
      <c r="J47" s="131"/>
      <c r="K47" s="3">
        <f t="shared" si="11"/>
        <v>0</v>
      </c>
      <c r="L47" s="52">
        <f t="shared" si="12"/>
        <v>0</v>
      </c>
      <c r="M47" s="97">
        <f t="shared" si="25"/>
        <v>39</v>
      </c>
      <c r="N47" s="211">
        <v>20</v>
      </c>
      <c r="O47" s="3">
        <f t="shared" si="50"/>
        <v>0</v>
      </c>
      <c r="P47" s="72">
        <f t="shared" si="14"/>
        <v>0</v>
      </c>
      <c r="Q47" s="81">
        <f t="shared" si="15"/>
        <v>0</v>
      </c>
      <c r="R47" s="76">
        <f t="shared" si="16"/>
        <v>99</v>
      </c>
      <c r="S47" s="215">
        <v>50</v>
      </c>
      <c r="T47" s="3">
        <f t="shared" si="45"/>
        <v>0</v>
      </c>
      <c r="U47" s="72">
        <f t="shared" si="31"/>
        <v>0</v>
      </c>
      <c r="V47" s="81">
        <f t="shared" si="17"/>
        <v>0</v>
      </c>
      <c r="W47" s="76">
        <f t="shared" si="38"/>
        <v>159</v>
      </c>
      <c r="X47" s="213">
        <v>80</v>
      </c>
      <c r="Y47" s="3">
        <f t="shared" si="46"/>
        <v>0</v>
      </c>
      <c r="Z47" s="72">
        <f t="shared" si="52"/>
        <v>0</v>
      </c>
      <c r="AA47" s="81">
        <f t="shared" si="18"/>
        <v>0</v>
      </c>
      <c r="AB47" s="76">
        <f t="shared" si="26"/>
        <v>219</v>
      </c>
      <c r="AC47" s="215">
        <v>110</v>
      </c>
      <c r="AD47" s="3">
        <f t="shared" si="47"/>
        <v>0</v>
      </c>
      <c r="AE47" s="72">
        <f t="shared" si="53"/>
        <v>0</v>
      </c>
      <c r="AF47" s="81">
        <f t="shared" si="19"/>
        <v>0</v>
      </c>
      <c r="AG47" s="178">
        <f t="shared" si="27"/>
        <v>279</v>
      </c>
      <c r="AH47" s="211">
        <v>140</v>
      </c>
      <c r="AI47" s="3">
        <f t="shared" si="48"/>
        <v>0</v>
      </c>
      <c r="AJ47" s="72">
        <f t="shared" si="8"/>
        <v>0</v>
      </c>
      <c r="AK47" s="176">
        <f t="shared" si="20"/>
        <v>0</v>
      </c>
      <c r="AL47" s="76">
        <f t="shared" si="28"/>
        <v>339</v>
      </c>
      <c r="AM47" s="215">
        <v>170</v>
      </c>
      <c r="AN47" s="33">
        <f t="shared" si="49"/>
        <v>0</v>
      </c>
      <c r="AO47" s="74">
        <f t="shared" si="54"/>
        <v>0</v>
      </c>
      <c r="AP47" s="75">
        <f t="shared" si="21"/>
        <v>0</v>
      </c>
      <c r="AQ47" s="76">
        <f t="shared" si="29"/>
        <v>399</v>
      </c>
      <c r="AR47" s="33">
        <f t="shared" si="51"/>
        <v>0</v>
      </c>
      <c r="AS47" s="74">
        <f t="shared" si="36"/>
        <v>0</v>
      </c>
      <c r="AT47" s="144">
        <f t="shared" si="37"/>
        <v>0</v>
      </c>
      <c r="AU47" s="66"/>
      <c r="AV47" s="69"/>
      <c r="AW47" s="56">
        <f t="shared" si="34"/>
        <v>0</v>
      </c>
      <c r="AX47" s="57">
        <f t="shared" si="35"/>
        <v>0</v>
      </c>
      <c r="AY47" s="23"/>
    </row>
    <row r="48" spans="1:51" x14ac:dyDescent="0.2">
      <c r="A48" s="13"/>
      <c r="B48" s="129">
        <f t="shared" si="0"/>
        <v>0</v>
      </c>
      <c r="C48" s="203"/>
      <c r="D48" s="203"/>
      <c r="E48" s="203"/>
      <c r="F48" s="186"/>
      <c r="G48" s="163"/>
      <c r="H48" s="189"/>
      <c r="I48" s="170"/>
      <c r="J48" s="131"/>
      <c r="K48" s="9">
        <f t="shared" si="11"/>
        <v>0</v>
      </c>
      <c r="L48" s="52">
        <f t="shared" si="12"/>
        <v>0</v>
      </c>
      <c r="M48" s="99">
        <f t="shared" si="25"/>
        <v>40</v>
      </c>
      <c r="N48" s="211"/>
      <c r="O48" s="53">
        <f t="shared" si="50"/>
        <v>0</v>
      </c>
      <c r="P48" s="82">
        <f t="shared" si="14"/>
        <v>0</v>
      </c>
      <c r="Q48" s="83">
        <f t="shared" si="15"/>
        <v>0</v>
      </c>
      <c r="R48" s="92">
        <f t="shared" si="16"/>
        <v>100</v>
      </c>
      <c r="S48" s="216"/>
      <c r="T48" s="53">
        <f t="shared" si="45"/>
        <v>0</v>
      </c>
      <c r="U48" s="82">
        <f t="shared" si="31"/>
        <v>0</v>
      </c>
      <c r="V48" s="83">
        <f t="shared" si="17"/>
        <v>0</v>
      </c>
      <c r="W48" s="92">
        <f t="shared" si="38"/>
        <v>160</v>
      </c>
      <c r="X48" s="214"/>
      <c r="Y48" s="53">
        <f t="shared" si="46"/>
        <v>0</v>
      </c>
      <c r="Z48" s="82">
        <f t="shared" si="52"/>
        <v>0</v>
      </c>
      <c r="AA48" s="83">
        <f t="shared" si="18"/>
        <v>0</v>
      </c>
      <c r="AB48" s="92">
        <f t="shared" si="26"/>
        <v>220</v>
      </c>
      <c r="AC48" s="216"/>
      <c r="AD48" s="53">
        <f t="shared" si="47"/>
        <v>0</v>
      </c>
      <c r="AE48" s="82">
        <f t="shared" si="53"/>
        <v>0</v>
      </c>
      <c r="AF48" s="83">
        <f t="shared" si="19"/>
        <v>0</v>
      </c>
      <c r="AG48" s="178">
        <f t="shared" si="27"/>
        <v>280</v>
      </c>
      <c r="AH48" s="211"/>
      <c r="AI48" s="53">
        <f t="shared" si="48"/>
        <v>0</v>
      </c>
      <c r="AJ48" s="53">
        <f t="shared" si="8"/>
        <v>0</v>
      </c>
      <c r="AK48" s="180">
        <f t="shared" si="20"/>
        <v>0</v>
      </c>
      <c r="AL48" s="76">
        <f t="shared" si="28"/>
        <v>340</v>
      </c>
      <c r="AM48" s="216"/>
      <c r="AN48" s="53">
        <f t="shared" si="49"/>
        <v>0</v>
      </c>
      <c r="AO48" s="53">
        <f t="shared" si="54"/>
        <v>0</v>
      </c>
      <c r="AP48" s="80">
        <f t="shared" si="21"/>
        <v>0</v>
      </c>
      <c r="AQ48" s="76">
        <f t="shared" si="29"/>
        <v>400</v>
      </c>
      <c r="AR48" s="53">
        <f t="shared" si="51"/>
        <v>0</v>
      </c>
      <c r="AS48" s="53">
        <f t="shared" si="36"/>
        <v>0</v>
      </c>
      <c r="AT48" s="150">
        <f t="shared" si="37"/>
        <v>0</v>
      </c>
      <c r="AU48" s="66"/>
      <c r="AV48" s="69"/>
      <c r="AW48" s="56">
        <f t="shared" si="34"/>
        <v>0</v>
      </c>
      <c r="AX48" s="57">
        <f t="shared" si="35"/>
        <v>0</v>
      </c>
      <c r="AY48" s="23"/>
    </row>
    <row r="49" spans="1:51" x14ac:dyDescent="0.2">
      <c r="A49" s="13"/>
      <c r="B49" s="129">
        <f t="shared" si="0"/>
        <v>0</v>
      </c>
      <c r="C49" s="129"/>
      <c r="D49" s="129"/>
      <c r="E49" s="129"/>
      <c r="F49" s="185"/>
      <c r="G49" s="162"/>
      <c r="H49" s="189"/>
      <c r="I49" s="169"/>
      <c r="J49" s="131"/>
      <c r="K49" s="5">
        <f t="shared" si="11"/>
        <v>0</v>
      </c>
      <c r="L49" s="52">
        <f t="shared" si="12"/>
        <v>0</v>
      </c>
      <c r="M49" s="100">
        <f t="shared" si="25"/>
        <v>41</v>
      </c>
      <c r="N49" s="211">
        <v>21</v>
      </c>
      <c r="O49" s="3">
        <f t="shared" si="50"/>
        <v>0</v>
      </c>
      <c r="P49" s="84">
        <f t="shared" si="14"/>
        <v>0</v>
      </c>
      <c r="Q49" s="85">
        <f t="shared" si="15"/>
        <v>0</v>
      </c>
      <c r="R49" s="93">
        <f t="shared" si="16"/>
        <v>101</v>
      </c>
      <c r="S49" s="215">
        <v>51</v>
      </c>
      <c r="T49" s="3">
        <f t="shared" si="45"/>
        <v>0</v>
      </c>
      <c r="U49" s="84">
        <f t="shared" si="31"/>
        <v>0</v>
      </c>
      <c r="V49" s="85">
        <f t="shared" si="17"/>
        <v>0</v>
      </c>
      <c r="W49" s="93">
        <f t="shared" si="38"/>
        <v>161</v>
      </c>
      <c r="X49" s="213">
        <v>81</v>
      </c>
      <c r="Y49" s="3">
        <f t="shared" si="46"/>
        <v>0</v>
      </c>
      <c r="Z49" s="84">
        <f t="shared" si="52"/>
        <v>0</v>
      </c>
      <c r="AA49" s="85">
        <f t="shared" si="18"/>
        <v>0</v>
      </c>
      <c r="AB49" s="93">
        <f t="shared" si="26"/>
        <v>221</v>
      </c>
      <c r="AC49" s="215">
        <v>111</v>
      </c>
      <c r="AD49" s="3">
        <f t="shared" si="47"/>
        <v>0</v>
      </c>
      <c r="AE49" s="84">
        <f t="shared" si="53"/>
        <v>0</v>
      </c>
      <c r="AF49" s="85">
        <f t="shared" si="19"/>
        <v>0</v>
      </c>
      <c r="AG49" s="178">
        <f t="shared" si="27"/>
        <v>281</v>
      </c>
      <c r="AH49" s="211">
        <v>141</v>
      </c>
      <c r="AI49" s="3">
        <f t="shared" si="48"/>
        <v>0</v>
      </c>
      <c r="AJ49" s="72">
        <f t="shared" si="8"/>
        <v>0</v>
      </c>
      <c r="AK49" s="176">
        <f t="shared" si="20"/>
        <v>0</v>
      </c>
      <c r="AL49" s="76">
        <f t="shared" si="28"/>
        <v>341</v>
      </c>
      <c r="AM49" s="216">
        <v>171</v>
      </c>
      <c r="AN49" s="3">
        <f t="shared" si="49"/>
        <v>0</v>
      </c>
      <c r="AO49" s="79">
        <f t="shared" si="54"/>
        <v>0</v>
      </c>
      <c r="AP49" s="81">
        <f t="shared" si="21"/>
        <v>0</v>
      </c>
      <c r="AQ49" s="76">
        <f t="shared" si="29"/>
        <v>401</v>
      </c>
      <c r="AR49" s="104">
        <f t="shared" si="51"/>
        <v>0</v>
      </c>
      <c r="AS49" s="79">
        <f t="shared" si="36"/>
        <v>0</v>
      </c>
      <c r="AT49" s="144">
        <f t="shared" si="37"/>
        <v>0</v>
      </c>
      <c r="AU49" s="66"/>
      <c r="AV49" s="51"/>
      <c r="AW49" s="56">
        <f t="shared" si="34"/>
        <v>0</v>
      </c>
      <c r="AX49" s="57">
        <f t="shared" si="35"/>
        <v>0</v>
      </c>
      <c r="AY49" s="23"/>
    </row>
    <row r="50" spans="1:51" x14ac:dyDescent="0.2">
      <c r="A50" s="13"/>
      <c r="B50" s="250">
        <f t="shared" si="0"/>
        <v>0</v>
      </c>
      <c r="C50" s="250"/>
      <c r="D50" s="250"/>
      <c r="E50" s="250"/>
      <c r="F50" s="251"/>
      <c r="G50" s="162"/>
      <c r="H50" s="189"/>
      <c r="I50" s="169"/>
      <c r="J50" s="131"/>
      <c r="K50" s="3">
        <f t="shared" si="11"/>
        <v>0</v>
      </c>
      <c r="L50" s="52">
        <f t="shared" si="12"/>
        <v>0</v>
      </c>
      <c r="M50" s="97">
        <f t="shared" si="25"/>
        <v>42</v>
      </c>
      <c r="N50" s="211"/>
      <c r="O50" s="3">
        <f t="shared" si="50"/>
        <v>0</v>
      </c>
      <c r="P50" s="72">
        <f t="shared" si="14"/>
        <v>0</v>
      </c>
      <c r="Q50" s="81">
        <f t="shared" si="15"/>
        <v>0</v>
      </c>
      <c r="R50" s="76">
        <f t="shared" si="16"/>
        <v>102</v>
      </c>
      <c r="S50" s="216"/>
      <c r="T50" s="3">
        <f t="shared" si="45"/>
        <v>0</v>
      </c>
      <c r="U50" s="72">
        <f t="shared" si="31"/>
        <v>0</v>
      </c>
      <c r="V50" s="81">
        <f t="shared" si="17"/>
        <v>0</v>
      </c>
      <c r="W50" s="76">
        <f t="shared" si="38"/>
        <v>162</v>
      </c>
      <c r="X50" s="214"/>
      <c r="Y50" s="3">
        <f t="shared" si="46"/>
        <v>0</v>
      </c>
      <c r="Z50" s="72">
        <f t="shared" si="52"/>
        <v>0</v>
      </c>
      <c r="AA50" s="81">
        <f t="shared" si="18"/>
        <v>0</v>
      </c>
      <c r="AB50" s="76">
        <f t="shared" si="26"/>
        <v>222</v>
      </c>
      <c r="AC50" s="216"/>
      <c r="AD50" s="3">
        <f t="shared" si="47"/>
        <v>0</v>
      </c>
      <c r="AE50" s="72">
        <f t="shared" si="53"/>
        <v>0</v>
      </c>
      <c r="AF50" s="81">
        <f t="shared" si="19"/>
        <v>0</v>
      </c>
      <c r="AG50" s="178">
        <f t="shared" si="27"/>
        <v>282</v>
      </c>
      <c r="AH50" s="211"/>
      <c r="AI50" s="3">
        <f t="shared" si="48"/>
        <v>0</v>
      </c>
      <c r="AJ50" s="72">
        <f t="shared" si="8"/>
        <v>0</v>
      </c>
      <c r="AK50" s="176">
        <f t="shared" si="20"/>
        <v>0</v>
      </c>
      <c r="AL50" s="76">
        <f t="shared" si="28"/>
        <v>342</v>
      </c>
      <c r="AM50" s="216"/>
      <c r="AN50" s="3">
        <f t="shared" si="49"/>
        <v>0</v>
      </c>
      <c r="AO50" s="74">
        <f t="shared" si="54"/>
        <v>0</v>
      </c>
      <c r="AP50" s="81">
        <f t="shared" si="21"/>
        <v>0</v>
      </c>
      <c r="AQ50" s="76">
        <f t="shared" si="29"/>
        <v>402</v>
      </c>
      <c r="AR50" s="33">
        <f t="shared" si="51"/>
        <v>0</v>
      </c>
      <c r="AS50" s="74">
        <f t="shared" si="36"/>
        <v>0</v>
      </c>
      <c r="AT50" s="144">
        <f t="shared" si="37"/>
        <v>0</v>
      </c>
      <c r="AU50" s="66"/>
      <c r="AV50" s="51"/>
      <c r="AW50" s="56">
        <f t="shared" si="34"/>
        <v>0</v>
      </c>
      <c r="AX50" s="57">
        <f t="shared" si="35"/>
        <v>0</v>
      </c>
      <c r="AY50" s="23"/>
    </row>
    <row r="51" spans="1:51" x14ac:dyDescent="0.2">
      <c r="A51" s="13"/>
      <c r="B51" s="129">
        <f t="shared" si="0"/>
        <v>0</v>
      </c>
      <c r="C51" s="129"/>
      <c r="D51" s="129"/>
      <c r="E51" s="129"/>
      <c r="F51" s="185"/>
      <c r="G51" s="162"/>
      <c r="H51" s="189"/>
      <c r="I51" s="169"/>
      <c r="J51" s="131"/>
      <c r="K51" s="3">
        <f t="shared" si="11"/>
        <v>0</v>
      </c>
      <c r="L51" s="52">
        <f t="shared" si="12"/>
        <v>0</v>
      </c>
      <c r="M51" s="97">
        <f t="shared" si="25"/>
        <v>43</v>
      </c>
      <c r="N51" s="211">
        <v>22</v>
      </c>
      <c r="O51" s="3">
        <f t="shared" si="50"/>
        <v>0</v>
      </c>
      <c r="P51" s="72">
        <f t="shared" si="14"/>
        <v>0</v>
      </c>
      <c r="Q51" s="81">
        <f t="shared" si="15"/>
        <v>0</v>
      </c>
      <c r="R51" s="76">
        <f t="shared" si="16"/>
        <v>103</v>
      </c>
      <c r="S51" s="215">
        <v>52</v>
      </c>
      <c r="T51" s="3">
        <f t="shared" si="45"/>
        <v>0</v>
      </c>
      <c r="U51" s="72">
        <f t="shared" si="31"/>
        <v>0</v>
      </c>
      <c r="V51" s="81">
        <f t="shared" si="17"/>
        <v>0</v>
      </c>
      <c r="W51" s="76">
        <f t="shared" si="38"/>
        <v>163</v>
      </c>
      <c r="X51" s="213">
        <v>82</v>
      </c>
      <c r="Y51" s="3">
        <f t="shared" si="46"/>
        <v>0</v>
      </c>
      <c r="Z51" s="72">
        <f t="shared" si="52"/>
        <v>0</v>
      </c>
      <c r="AA51" s="81">
        <f t="shared" si="18"/>
        <v>0</v>
      </c>
      <c r="AB51" s="76">
        <f t="shared" si="26"/>
        <v>223</v>
      </c>
      <c r="AC51" s="215">
        <v>112</v>
      </c>
      <c r="AD51" s="3">
        <f t="shared" si="47"/>
        <v>0</v>
      </c>
      <c r="AE51" s="72">
        <f t="shared" si="53"/>
        <v>0</v>
      </c>
      <c r="AF51" s="81">
        <f t="shared" si="19"/>
        <v>0</v>
      </c>
      <c r="AG51" s="178">
        <f t="shared" si="27"/>
        <v>283</v>
      </c>
      <c r="AH51" s="211">
        <v>142</v>
      </c>
      <c r="AI51" s="3">
        <f t="shared" si="48"/>
        <v>0</v>
      </c>
      <c r="AJ51" s="72">
        <f t="shared" si="8"/>
        <v>0</v>
      </c>
      <c r="AK51" s="176">
        <f t="shared" si="20"/>
        <v>0</v>
      </c>
      <c r="AL51" s="76">
        <f t="shared" si="28"/>
        <v>343</v>
      </c>
      <c r="AM51" s="215">
        <v>172</v>
      </c>
      <c r="AN51" s="3">
        <f t="shared" si="49"/>
        <v>0</v>
      </c>
      <c r="AO51" s="74">
        <f t="shared" si="54"/>
        <v>0</v>
      </c>
      <c r="AP51" s="81">
        <f t="shared" si="21"/>
        <v>0</v>
      </c>
      <c r="AQ51" s="76">
        <f t="shared" si="29"/>
        <v>403</v>
      </c>
      <c r="AR51" s="33">
        <f t="shared" si="51"/>
        <v>0</v>
      </c>
      <c r="AS51" s="74">
        <f t="shared" si="36"/>
        <v>0</v>
      </c>
      <c r="AT51" s="144">
        <f t="shared" si="37"/>
        <v>0</v>
      </c>
      <c r="AU51" s="66"/>
      <c r="AV51" s="51"/>
      <c r="AW51" s="56">
        <f t="shared" si="34"/>
        <v>0</v>
      </c>
      <c r="AX51" s="57">
        <f t="shared" si="35"/>
        <v>0</v>
      </c>
      <c r="AY51" s="23"/>
    </row>
    <row r="52" spans="1:51" x14ac:dyDescent="0.2">
      <c r="A52" s="13"/>
      <c r="B52" s="129">
        <f t="shared" si="0"/>
        <v>0</v>
      </c>
      <c r="C52" s="129"/>
      <c r="D52" s="129"/>
      <c r="E52" s="129"/>
      <c r="F52" s="185"/>
      <c r="G52" s="162"/>
      <c r="H52" s="189"/>
      <c r="I52" s="169"/>
      <c r="J52" s="131"/>
      <c r="K52" s="3">
        <f t="shared" si="11"/>
        <v>0</v>
      </c>
      <c r="L52" s="52">
        <f t="shared" si="12"/>
        <v>0</v>
      </c>
      <c r="M52" s="97">
        <f t="shared" si="25"/>
        <v>44</v>
      </c>
      <c r="N52" s="211"/>
      <c r="O52" s="3">
        <f t="shared" si="50"/>
        <v>0</v>
      </c>
      <c r="P52" s="72">
        <f t="shared" si="14"/>
        <v>0</v>
      </c>
      <c r="Q52" s="81">
        <f t="shared" si="15"/>
        <v>0</v>
      </c>
      <c r="R52" s="76">
        <f t="shared" si="16"/>
        <v>104</v>
      </c>
      <c r="S52" s="216"/>
      <c r="T52" s="3">
        <f t="shared" si="45"/>
        <v>0</v>
      </c>
      <c r="U52" s="72">
        <f t="shared" si="31"/>
        <v>0</v>
      </c>
      <c r="V52" s="81">
        <f t="shared" si="17"/>
        <v>0</v>
      </c>
      <c r="W52" s="76">
        <f t="shared" si="38"/>
        <v>164</v>
      </c>
      <c r="X52" s="214"/>
      <c r="Y52" s="3">
        <f t="shared" si="46"/>
        <v>0</v>
      </c>
      <c r="Z52" s="72">
        <f t="shared" si="52"/>
        <v>0</v>
      </c>
      <c r="AA52" s="81">
        <f t="shared" si="18"/>
        <v>0</v>
      </c>
      <c r="AB52" s="76">
        <f t="shared" si="26"/>
        <v>224</v>
      </c>
      <c r="AC52" s="216"/>
      <c r="AD52" s="3">
        <f t="shared" si="47"/>
        <v>0</v>
      </c>
      <c r="AE52" s="72">
        <f t="shared" si="53"/>
        <v>0</v>
      </c>
      <c r="AF52" s="81">
        <f t="shared" si="19"/>
        <v>0</v>
      </c>
      <c r="AG52" s="178">
        <f t="shared" si="27"/>
        <v>284</v>
      </c>
      <c r="AH52" s="211"/>
      <c r="AI52" s="3">
        <f t="shared" si="48"/>
        <v>0</v>
      </c>
      <c r="AJ52" s="72">
        <f t="shared" si="8"/>
        <v>0</v>
      </c>
      <c r="AK52" s="176">
        <f t="shared" si="20"/>
        <v>0</v>
      </c>
      <c r="AL52" s="76">
        <f t="shared" si="28"/>
        <v>344</v>
      </c>
      <c r="AM52" s="216"/>
      <c r="AN52" s="3">
        <f t="shared" si="49"/>
        <v>0</v>
      </c>
      <c r="AO52" s="74">
        <f t="shared" si="54"/>
        <v>0</v>
      </c>
      <c r="AP52" s="81">
        <f t="shared" si="21"/>
        <v>0</v>
      </c>
      <c r="AQ52" s="76">
        <f t="shared" si="29"/>
        <v>404</v>
      </c>
      <c r="AR52" s="33">
        <f t="shared" si="51"/>
        <v>0</v>
      </c>
      <c r="AS52" s="74">
        <f t="shared" si="36"/>
        <v>0</v>
      </c>
      <c r="AT52" s="144">
        <f t="shared" si="37"/>
        <v>0</v>
      </c>
      <c r="AU52" s="66"/>
      <c r="AV52" s="70"/>
      <c r="AW52" s="56">
        <f t="shared" si="34"/>
        <v>0</v>
      </c>
      <c r="AX52" s="57">
        <f t="shared" si="35"/>
        <v>0</v>
      </c>
      <c r="AY52" s="23"/>
    </row>
    <row r="53" spans="1:51" x14ac:dyDescent="0.2">
      <c r="A53" s="13"/>
      <c r="B53" s="129">
        <f t="shared" si="0"/>
        <v>0</v>
      </c>
      <c r="C53" s="129"/>
      <c r="D53" s="129"/>
      <c r="E53" s="129"/>
      <c r="F53" s="185"/>
      <c r="G53" s="162"/>
      <c r="H53" s="189"/>
      <c r="I53" s="169"/>
      <c r="J53" s="131"/>
      <c r="K53" s="3">
        <f t="shared" si="11"/>
        <v>0</v>
      </c>
      <c r="L53" s="52">
        <f t="shared" si="12"/>
        <v>0</v>
      </c>
      <c r="M53" s="97">
        <f t="shared" si="25"/>
        <v>45</v>
      </c>
      <c r="N53" s="211">
        <v>23</v>
      </c>
      <c r="O53" s="3">
        <f t="shared" si="50"/>
        <v>0</v>
      </c>
      <c r="P53" s="72">
        <f t="shared" si="14"/>
        <v>0</v>
      </c>
      <c r="Q53" s="81">
        <f t="shared" si="15"/>
        <v>0</v>
      </c>
      <c r="R53" s="76">
        <f t="shared" si="16"/>
        <v>105</v>
      </c>
      <c r="S53" s="215">
        <v>53</v>
      </c>
      <c r="T53" s="3">
        <f t="shared" si="45"/>
        <v>0</v>
      </c>
      <c r="U53" s="72">
        <f t="shared" si="31"/>
        <v>0</v>
      </c>
      <c r="V53" s="81">
        <f t="shared" si="17"/>
        <v>0</v>
      </c>
      <c r="W53" s="76">
        <f t="shared" si="38"/>
        <v>165</v>
      </c>
      <c r="X53" s="213">
        <v>83</v>
      </c>
      <c r="Y53" s="3">
        <f t="shared" si="46"/>
        <v>0</v>
      </c>
      <c r="Z53" s="72">
        <f t="shared" si="52"/>
        <v>0</v>
      </c>
      <c r="AA53" s="81">
        <f t="shared" si="18"/>
        <v>0</v>
      </c>
      <c r="AB53" s="76">
        <f t="shared" si="26"/>
        <v>225</v>
      </c>
      <c r="AC53" s="215">
        <v>113</v>
      </c>
      <c r="AD53" s="3">
        <f t="shared" si="47"/>
        <v>0</v>
      </c>
      <c r="AE53" s="72">
        <f t="shared" si="53"/>
        <v>0</v>
      </c>
      <c r="AF53" s="81">
        <f t="shared" si="19"/>
        <v>0</v>
      </c>
      <c r="AG53" s="178">
        <f t="shared" si="27"/>
        <v>285</v>
      </c>
      <c r="AH53" s="211">
        <v>143</v>
      </c>
      <c r="AI53" s="3">
        <f t="shared" si="48"/>
        <v>0</v>
      </c>
      <c r="AJ53" s="72">
        <f t="shared" si="8"/>
        <v>0</v>
      </c>
      <c r="AK53" s="176">
        <f t="shared" si="20"/>
        <v>0</v>
      </c>
      <c r="AL53" s="76">
        <f t="shared" si="28"/>
        <v>345</v>
      </c>
      <c r="AM53" s="215">
        <v>173</v>
      </c>
      <c r="AN53" s="3">
        <f t="shared" si="49"/>
        <v>0</v>
      </c>
      <c r="AO53" s="74">
        <f t="shared" si="54"/>
        <v>0</v>
      </c>
      <c r="AP53" s="81">
        <f t="shared" si="21"/>
        <v>0</v>
      </c>
      <c r="AQ53" s="76">
        <f t="shared" si="29"/>
        <v>405</v>
      </c>
      <c r="AR53" s="33">
        <f t="shared" si="51"/>
        <v>0</v>
      </c>
      <c r="AS53" s="74">
        <f t="shared" si="36"/>
        <v>0</v>
      </c>
      <c r="AT53" s="144">
        <f t="shared" si="37"/>
        <v>0</v>
      </c>
      <c r="AU53" s="67"/>
      <c r="AV53" s="70"/>
      <c r="AW53" s="56">
        <f t="shared" si="34"/>
        <v>0</v>
      </c>
      <c r="AX53" s="57">
        <f t="shared" si="35"/>
        <v>0</v>
      </c>
      <c r="AY53" s="23"/>
    </row>
    <row r="54" spans="1:51" x14ac:dyDescent="0.2">
      <c r="A54" s="13"/>
      <c r="B54" s="129">
        <f t="shared" si="0"/>
        <v>0</v>
      </c>
      <c r="C54" s="203"/>
      <c r="D54" s="203"/>
      <c r="E54" s="203"/>
      <c r="F54" s="186"/>
      <c r="G54" s="163"/>
      <c r="H54" s="189"/>
      <c r="I54" s="170"/>
      <c r="J54" s="131"/>
      <c r="K54" s="3">
        <f t="shared" si="11"/>
        <v>0</v>
      </c>
      <c r="L54" s="52">
        <f t="shared" si="12"/>
        <v>0</v>
      </c>
      <c r="M54" s="97">
        <f t="shared" si="25"/>
        <v>46</v>
      </c>
      <c r="N54" s="211"/>
      <c r="O54" s="3">
        <f t="shared" si="50"/>
        <v>0</v>
      </c>
      <c r="P54" s="72">
        <f t="shared" si="14"/>
        <v>0</v>
      </c>
      <c r="Q54" s="81">
        <f t="shared" si="15"/>
        <v>0</v>
      </c>
      <c r="R54" s="76">
        <f t="shared" si="16"/>
        <v>106</v>
      </c>
      <c r="S54" s="216"/>
      <c r="T54" s="3">
        <f t="shared" si="45"/>
        <v>0</v>
      </c>
      <c r="U54" s="72">
        <f t="shared" si="31"/>
        <v>0</v>
      </c>
      <c r="V54" s="81">
        <f t="shared" si="17"/>
        <v>0</v>
      </c>
      <c r="W54" s="76">
        <f t="shared" si="38"/>
        <v>166</v>
      </c>
      <c r="X54" s="214"/>
      <c r="Y54" s="3">
        <f t="shared" si="46"/>
        <v>0</v>
      </c>
      <c r="Z54" s="72">
        <f t="shared" si="52"/>
        <v>0</v>
      </c>
      <c r="AA54" s="81">
        <f t="shared" si="18"/>
        <v>0</v>
      </c>
      <c r="AB54" s="76">
        <f t="shared" si="26"/>
        <v>226</v>
      </c>
      <c r="AC54" s="216"/>
      <c r="AD54" s="3">
        <f t="shared" si="47"/>
        <v>0</v>
      </c>
      <c r="AE54" s="72">
        <f t="shared" si="53"/>
        <v>0</v>
      </c>
      <c r="AF54" s="81">
        <f t="shared" si="19"/>
        <v>0</v>
      </c>
      <c r="AG54" s="178">
        <f t="shared" si="27"/>
        <v>286</v>
      </c>
      <c r="AH54" s="211"/>
      <c r="AI54" s="3">
        <f t="shared" si="48"/>
        <v>0</v>
      </c>
      <c r="AJ54" s="72">
        <f t="shared" si="8"/>
        <v>0</v>
      </c>
      <c r="AK54" s="176">
        <f t="shared" si="20"/>
        <v>0</v>
      </c>
      <c r="AL54" s="76">
        <f t="shared" si="28"/>
        <v>346</v>
      </c>
      <c r="AM54" s="216"/>
      <c r="AN54" s="3">
        <f t="shared" si="49"/>
        <v>0</v>
      </c>
      <c r="AO54" s="74">
        <f t="shared" si="54"/>
        <v>0</v>
      </c>
      <c r="AP54" s="81">
        <f t="shared" si="21"/>
        <v>0</v>
      </c>
      <c r="AQ54" s="76">
        <f t="shared" si="29"/>
        <v>406</v>
      </c>
      <c r="AR54" s="33">
        <f t="shared" si="51"/>
        <v>0</v>
      </c>
      <c r="AS54" s="74">
        <f t="shared" si="36"/>
        <v>0</v>
      </c>
      <c r="AT54" s="144">
        <f t="shared" si="37"/>
        <v>0</v>
      </c>
      <c r="AU54" s="66"/>
      <c r="AV54" s="51"/>
      <c r="AW54" s="56">
        <f t="shared" si="34"/>
        <v>0</v>
      </c>
      <c r="AX54" s="57">
        <f t="shared" si="35"/>
        <v>0</v>
      </c>
      <c r="AY54" s="23"/>
    </row>
    <row r="55" spans="1:51" x14ac:dyDescent="0.2">
      <c r="A55" s="13"/>
      <c r="B55" s="129">
        <f t="shared" si="0"/>
        <v>0</v>
      </c>
      <c r="C55" s="129"/>
      <c r="D55" s="129"/>
      <c r="E55" s="129"/>
      <c r="F55" s="185"/>
      <c r="G55" s="162"/>
      <c r="H55" s="189"/>
      <c r="I55" s="169"/>
      <c r="J55" s="131"/>
      <c r="K55" s="3">
        <f t="shared" si="11"/>
        <v>0</v>
      </c>
      <c r="L55" s="52">
        <f t="shared" si="12"/>
        <v>0</v>
      </c>
      <c r="M55" s="97">
        <f t="shared" si="25"/>
        <v>47</v>
      </c>
      <c r="N55" s="211">
        <v>24</v>
      </c>
      <c r="O55" s="3">
        <f t="shared" si="50"/>
        <v>0</v>
      </c>
      <c r="P55" s="72">
        <f t="shared" si="14"/>
        <v>0</v>
      </c>
      <c r="Q55" s="81">
        <f t="shared" si="15"/>
        <v>0</v>
      </c>
      <c r="R55" s="76">
        <f t="shared" si="16"/>
        <v>107</v>
      </c>
      <c r="S55" s="215">
        <v>54</v>
      </c>
      <c r="T55" s="3">
        <f t="shared" si="45"/>
        <v>0</v>
      </c>
      <c r="U55" s="72">
        <f t="shared" si="31"/>
        <v>0</v>
      </c>
      <c r="V55" s="81">
        <f t="shared" si="17"/>
        <v>0</v>
      </c>
      <c r="W55" s="76">
        <f t="shared" si="38"/>
        <v>167</v>
      </c>
      <c r="X55" s="213">
        <v>84</v>
      </c>
      <c r="Y55" s="3">
        <f t="shared" si="46"/>
        <v>0</v>
      </c>
      <c r="Z55" s="72">
        <f t="shared" si="52"/>
        <v>0</v>
      </c>
      <c r="AA55" s="81">
        <f t="shared" si="18"/>
        <v>0</v>
      </c>
      <c r="AB55" s="76">
        <f t="shared" si="26"/>
        <v>227</v>
      </c>
      <c r="AC55" s="215">
        <v>114</v>
      </c>
      <c r="AD55" s="3">
        <f t="shared" si="47"/>
        <v>0</v>
      </c>
      <c r="AE55" s="72">
        <f t="shared" si="53"/>
        <v>0</v>
      </c>
      <c r="AF55" s="81">
        <f t="shared" si="19"/>
        <v>0</v>
      </c>
      <c r="AG55" s="178">
        <f t="shared" si="27"/>
        <v>287</v>
      </c>
      <c r="AH55" s="211">
        <v>144</v>
      </c>
      <c r="AI55" s="3">
        <f t="shared" si="48"/>
        <v>0</v>
      </c>
      <c r="AJ55" s="72">
        <f t="shared" si="8"/>
        <v>0</v>
      </c>
      <c r="AK55" s="176">
        <f t="shared" si="20"/>
        <v>0</v>
      </c>
      <c r="AL55" s="76">
        <f t="shared" si="28"/>
        <v>347</v>
      </c>
      <c r="AM55" s="215">
        <v>174</v>
      </c>
      <c r="AN55" s="3">
        <f t="shared" si="49"/>
        <v>0</v>
      </c>
      <c r="AO55" s="74">
        <f t="shared" si="54"/>
        <v>0</v>
      </c>
      <c r="AP55" s="81">
        <f t="shared" si="21"/>
        <v>0</v>
      </c>
      <c r="AQ55" s="76">
        <f t="shared" si="29"/>
        <v>407</v>
      </c>
      <c r="AR55" s="33">
        <f t="shared" si="51"/>
        <v>0</v>
      </c>
      <c r="AS55" s="74">
        <f t="shared" si="36"/>
        <v>0</v>
      </c>
      <c r="AT55" s="144">
        <f t="shared" si="37"/>
        <v>0</v>
      </c>
      <c r="AU55" s="66"/>
      <c r="AV55" s="51"/>
      <c r="AW55" s="56">
        <f t="shared" si="34"/>
        <v>0</v>
      </c>
      <c r="AX55" s="57">
        <f t="shared" si="35"/>
        <v>0</v>
      </c>
      <c r="AY55" s="23"/>
    </row>
    <row r="56" spans="1:51" x14ac:dyDescent="0.2">
      <c r="A56" s="13"/>
      <c r="B56" s="129">
        <f t="shared" si="0"/>
        <v>0</v>
      </c>
      <c r="C56" s="129"/>
      <c r="D56" s="129"/>
      <c r="E56" s="129"/>
      <c r="F56" s="185"/>
      <c r="G56" s="162"/>
      <c r="H56" s="189"/>
      <c r="I56" s="169"/>
      <c r="J56" s="131"/>
      <c r="K56" s="3">
        <f t="shared" si="11"/>
        <v>0</v>
      </c>
      <c r="L56" s="52">
        <f t="shared" si="12"/>
        <v>0</v>
      </c>
      <c r="M56" s="97">
        <f t="shared" si="25"/>
        <v>48</v>
      </c>
      <c r="N56" s="211"/>
      <c r="O56" s="3">
        <f t="shared" si="50"/>
        <v>0</v>
      </c>
      <c r="P56" s="72">
        <f t="shared" si="14"/>
        <v>0</v>
      </c>
      <c r="Q56" s="81">
        <f t="shared" si="15"/>
        <v>0</v>
      </c>
      <c r="R56" s="76">
        <f t="shared" si="16"/>
        <v>108</v>
      </c>
      <c r="S56" s="216"/>
      <c r="T56" s="3">
        <f t="shared" si="45"/>
        <v>0</v>
      </c>
      <c r="U56" s="72">
        <f t="shared" si="31"/>
        <v>0</v>
      </c>
      <c r="V56" s="81">
        <f t="shared" si="17"/>
        <v>0</v>
      </c>
      <c r="W56" s="76">
        <f t="shared" si="38"/>
        <v>168</v>
      </c>
      <c r="X56" s="214"/>
      <c r="Y56" s="3">
        <f t="shared" si="46"/>
        <v>0</v>
      </c>
      <c r="Z56" s="72">
        <f t="shared" si="52"/>
        <v>0</v>
      </c>
      <c r="AA56" s="81">
        <f t="shared" si="18"/>
        <v>0</v>
      </c>
      <c r="AB56" s="76">
        <f t="shared" si="26"/>
        <v>228</v>
      </c>
      <c r="AC56" s="216"/>
      <c r="AD56" s="3">
        <f t="shared" si="47"/>
        <v>0</v>
      </c>
      <c r="AE56" s="72">
        <f t="shared" si="53"/>
        <v>0</v>
      </c>
      <c r="AF56" s="81">
        <f t="shared" si="19"/>
        <v>0</v>
      </c>
      <c r="AG56" s="178">
        <f t="shared" si="27"/>
        <v>288</v>
      </c>
      <c r="AH56" s="211"/>
      <c r="AI56" s="3">
        <f t="shared" si="48"/>
        <v>0</v>
      </c>
      <c r="AJ56" s="72">
        <f t="shared" si="8"/>
        <v>0</v>
      </c>
      <c r="AK56" s="176">
        <f t="shared" si="20"/>
        <v>0</v>
      </c>
      <c r="AL56" s="76">
        <f t="shared" si="28"/>
        <v>348</v>
      </c>
      <c r="AM56" s="216"/>
      <c r="AN56" s="3">
        <f t="shared" si="49"/>
        <v>0</v>
      </c>
      <c r="AO56" s="74">
        <f t="shared" si="54"/>
        <v>0</v>
      </c>
      <c r="AP56" s="81">
        <f t="shared" si="21"/>
        <v>0</v>
      </c>
      <c r="AQ56" s="76">
        <f t="shared" si="29"/>
        <v>408</v>
      </c>
      <c r="AR56" s="33">
        <f t="shared" si="51"/>
        <v>0</v>
      </c>
      <c r="AS56" s="74">
        <f t="shared" si="36"/>
        <v>0</v>
      </c>
      <c r="AT56" s="144">
        <f t="shared" si="37"/>
        <v>0</v>
      </c>
      <c r="AU56" s="66"/>
      <c r="AV56" s="51"/>
      <c r="AW56" s="56">
        <f t="shared" si="34"/>
        <v>0</v>
      </c>
      <c r="AX56" s="57">
        <f t="shared" si="35"/>
        <v>0</v>
      </c>
      <c r="AY56" s="23"/>
    </row>
    <row r="57" spans="1:51" x14ac:dyDescent="0.2">
      <c r="A57" s="13"/>
      <c r="B57" s="129">
        <f t="shared" si="0"/>
        <v>0</v>
      </c>
      <c r="C57" s="129"/>
      <c r="D57" s="129"/>
      <c r="E57" s="129"/>
      <c r="F57" s="185"/>
      <c r="G57" s="162"/>
      <c r="H57" s="189"/>
      <c r="I57" s="169"/>
      <c r="J57" s="131"/>
      <c r="K57" s="3">
        <f t="shared" si="11"/>
        <v>0</v>
      </c>
      <c r="L57" s="52">
        <f t="shared" si="12"/>
        <v>0</v>
      </c>
      <c r="M57" s="97">
        <f t="shared" si="25"/>
        <v>49</v>
      </c>
      <c r="N57" s="211">
        <v>25</v>
      </c>
      <c r="O57" s="3">
        <f t="shared" si="50"/>
        <v>0</v>
      </c>
      <c r="P57" s="72">
        <f t="shared" si="14"/>
        <v>0</v>
      </c>
      <c r="Q57" s="81">
        <f t="shared" si="15"/>
        <v>0</v>
      </c>
      <c r="R57" s="76">
        <f t="shared" si="16"/>
        <v>109</v>
      </c>
      <c r="S57" s="215">
        <v>55</v>
      </c>
      <c r="T57" s="3">
        <f t="shared" si="45"/>
        <v>0</v>
      </c>
      <c r="U57" s="72">
        <f t="shared" si="31"/>
        <v>0</v>
      </c>
      <c r="V57" s="81">
        <f t="shared" si="17"/>
        <v>0</v>
      </c>
      <c r="W57" s="76">
        <f t="shared" si="38"/>
        <v>169</v>
      </c>
      <c r="X57" s="213">
        <v>85</v>
      </c>
      <c r="Y57" s="3">
        <f t="shared" si="46"/>
        <v>0</v>
      </c>
      <c r="Z57" s="72">
        <f t="shared" si="52"/>
        <v>0</v>
      </c>
      <c r="AA57" s="81">
        <f t="shared" si="18"/>
        <v>0</v>
      </c>
      <c r="AB57" s="76">
        <f t="shared" si="26"/>
        <v>229</v>
      </c>
      <c r="AC57" s="215">
        <v>115</v>
      </c>
      <c r="AD57" s="3">
        <f t="shared" si="47"/>
        <v>0</v>
      </c>
      <c r="AE57" s="72">
        <f t="shared" si="53"/>
        <v>0</v>
      </c>
      <c r="AF57" s="81">
        <f t="shared" si="19"/>
        <v>0</v>
      </c>
      <c r="AG57" s="178">
        <f t="shared" si="27"/>
        <v>289</v>
      </c>
      <c r="AH57" s="211">
        <v>145</v>
      </c>
      <c r="AI57" s="3">
        <f t="shared" si="48"/>
        <v>0</v>
      </c>
      <c r="AJ57" s="72">
        <f t="shared" si="8"/>
        <v>0</v>
      </c>
      <c r="AK57" s="176">
        <f t="shared" si="20"/>
        <v>0</v>
      </c>
      <c r="AL57" s="76">
        <f t="shared" si="28"/>
        <v>349</v>
      </c>
      <c r="AM57" s="215">
        <v>175</v>
      </c>
      <c r="AN57" s="3">
        <f t="shared" si="49"/>
        <v>0</v>
      </c>
      <c r="AO57" s="74">
        <f t="shared" si="54"/>
        <v>0</v>
      </c>
      <c r="AP57" s="81">
        <f t="shared" si="21"/>
        <v>0</v>
      </c>
      <c r="AQ57" s="76">
        <f t="shared" si="29"/>
        <v>409</v>
      </c>
      <c r="AR57" s="33">
        <f t="shared" si="51"/>
        <v>0</v>
      </c>
      <c r="AS57" s="74">
        <f t="shared" si="36"/>
        <v>0</v>
      </c>
      <c r="AT57" s="144">
        <f t="shared" si="37"/>
        <v>0</v>
      </c>
      <c r="AU57" s="68"/>
      <c r="AV57" s="102" t="s">
        <v>24</v>
      </c>
      <c r="AW57" s="56">
        <f t="shared" si="34"/>
        <v>0</v>
      </c>
      <c r="AX57" s="57">
        <f t="shared" si="35"/>
        <v>0</v>
      </c>
      <c r="AY57" s="23"/>
    </row>
    <row r="58" spans="1:51" ht="15" x14ac:dyDescent="0.2">
      <c r="A58" s="13"/>
      <c r="B58" s="129">
        <f t="shared" si="0"/>
        <v>0</v>
      </c>
      <c r="C58" s="129"/>
      <c r="D58" s="129"/>
      <c r="E58" s="129"/>
      <c r="F58" s="185"/>
      <c r="G58" s="162"/>
      <c r="H58" s="189"/>
      <c r="I58" s="169"/>
      <c r="J58" s="131"/>
      <c r="K58" s="9">
        <f t="shared" si="11"/>
        <v>0</v>
      </c>
      <c r="L58" s="52">
        <f t="shared" si="12"/>
        <v>0</v>
      </c>
      <c r="M58" s="98">
        <f t="shared" si="25"/>
        <v>50</v>
      </c>
      <c r="N58" s="211"/>
      <c r="O58" s="53">
        <f t="shared" si="50"/>
        <v>0</v>
      </c>
      <c r="P58" s="53">
        <f t="shared" si="14"/>
        <v>0</v>
      </c>
      <c r="Q58" s="86">
        <f t="shared" si="15"/>
        <v>0</v>
      </c>
      <c r="R58" s="91">
        <f t="shared" si="16"/>
        <v>110</v>
      </c>
      <c r="S58" s="216"/>
      <c r="T58" s="53">
        <f t="shared" si="45"/>
        <v>0</v>
      </c>
      <c r="U58" s="53">
        <f t="shared" si="31"/>
        <v>0</v>
      </c>
      <c r="V58" s="86">
        <f t="shared" si="17"/>
        <v>0</v>
      </c>
      <c r="W58" s="91">
        <f t="shared" si="38"/>
        <v>170</v>
      </c>
      <c r="X58" s="214"/>
      <c r="Y58" s="53">
        <f t="shared" si="46"/>
        <v>0</v>
      </c>
      <c r="Z58" s="53">
        <f t="shared" si="52"/>
        <v>0</v>
      </c>
      <c r="AA58" s="86">
        <f t="shared" si="18"/>
        <v>0</v>
      </c>
      <c r="AB58" s="76">
        <f t="shared" si="26"/>
        <v>230</v>
      </c>
      <c r="AC58" s="216"/>
      <c r="AD58" s="53">
        <f t="shared" si="47"/>
        <v>0</v>
      </c>
      <c r="AE58" s="53">
        <f t="shared" si="53"/>
        <v>0</v>
      </c>
      <c r="AF58" s="86">
        <f t="shared" si="19"/>
        <v>0</v>
      </c>
      <c r="AG58" s="178">
        <f t="shared" si="27"/>
        <v>290</v>
      </c>
      <c r="AH58" s="211"/>
      <c r="AI58" s="53">
        <f t="shared" si="48"/>
        <v>0</v>
      </c>
      <c r="AJ58" s="53">
        <f t="shared" si="8"/>
        <v>0</v>
      </c>
      <c r="AK58" s="181">
        <f t="shared" si="20"/>
        <v>0</v>
      </c>
      <c r="AL58" s="76">
        <f t="shared" si="28"/>
        <v>350</v>
      </c>
      <c r="AM58" s="216"/>
      <c r="AN58" s="53">
        <f t="shared" si="49"/>
        <v>0</v>
      </c>
      <c r="AO58" s="53">
        <f t="shared" si="54"/>
        <v>0</v>
      </c>
      <c r="AP58" s="86">
        <f t="shared" si="21"/>
        <v>0</v>
      </c>
      <c r="AQ58" s="76">
        <f t="shared" si="29"/>
        <v>410</v>
      </c>
      <c r="AR58" s="53">
        <f t="shared" si="51"/>
        <v>0</v>
      </c>
      <c r="AS58" s="53">
        <f t="shared" si="36"/>
        <v>0</v>
      </c>
      <c r="AT58" s="150">
        <f t="shared" si="37"/>
        <v>0</v>
      </c>
      <c r="AU58" s="38"/>
      <c r="AV58" s="71" t="s">
        <v>25</v>
      </c>
      <c r="AW58" s="63"/>
      <c r="AX58" s="139">
        <f>+SUM(AU21:AU43)</f>
        <v>0</v>
      </c>
      <c r="AY58" s="23"/>
    </row>
    <row r="59" spans="1:51" ht="15" x14ac:dyDescent="0.2">
      <c r="A59" s="13"/>
      <c r="B59" s="129">
        <f t="shared" si="0"/>
        <v>0</v>
      </c>
      <c r="C59" s="129"/>
      <c r="D59" s="129"/>
      <c r="E59" s="129"/>
      <c r="F59" s="185"/>
      <c r="G59" s="162"/>
      <c r="H59" s="189"/>
      <c r="I59" s="169"/>
      <c r="J59" s="131"/>
      <c r="K59" s="5">
        <f t="shared" si="11"/>
        <v>0</v>
      </c>
      <c r="L59" s="52">
        <f t="shared" si="12"/>
        <v>0</v>
      </c>
      <c r="M59" s="96">
        <f t="shared" si="25"/>
        <v>51</v>
      </c>
      <c r="N59" s="211">
        <v>26</v>
      </c>
      <c r="O59" s="3">
        <f t="shared" si="50"/>
        <v>0</v>
      </c>
      <c r="P59" s="73">
        <f t="shared" si="14"/>
        <v>0</v>
      </c>
      <c r="Q59" s="81">
        <f t="shared" si="15"/>
        <v>0</v>
      </c>
      <c r="R59" s="90">
        <f t="shared" si="16"/>
        <v>111</v>
      </c>
      <c r="S59" s="215">
        <v>56</v>
      </c>
      <c r="T59" s="3">
        <f t="shared" si="45"/>
        <v>0</v>
      </c>
      <c r="U59" s="73">
        <f t="shared" si="31"/>
        <v>0</v>
      </c>
      <c r="V59" s="81">
        <f t="shared" si="17"/>
        <v>0</v>
      </c>
      <c r="W59" s="90">
        <f t="shared" si="38"/>
        <v>171</v>
      </c>
      <c r="X59" s="213">
        <v>86</v>
      </c>
      <c r="Y59" s="3">
        <f t="shared" si="46"/>
        <v>0</v>
      </c>
      <c r="Z59" s="73">
        <f t="shared" si="52"/>
        <v>0</v>
      </c>
      <c r="AA59" s="81">
        <f t="shared" si="18"/>
        <v>0</v>
      </c>
      <c r="AB59" s="76">
        <f t="shared" si="26"/>
        <v>231</v>
      </c>
      <c r="AC59" s="215">
        <v>116</v>
      </c>
      <c r="AD59" s="3">
        <f t="shared" si="47"/>
        <v>0</v>
      </c>
      <c r="AE59" s="73">
        <f t="shared" si="53"/>
        <v>0</v>
      </c>
      <c r="AF59" s="81">
        <f t="shared" si="19"/>
        <v>0</v>
      </c>
      <c r="AG59" s="178">
        <f t="shared" si="27"/>
        <v>291</v>
      </c>
      <c r="AH59" s="211">
        <v>146</v>
      </c>
      <c r="AI59" s="3">
        <f t="shared" si="48"/>
        <v>0</v>
      </c>
      <c r="AJ59" s="73">
        <f t="shared" si="8"/>
        <v>0</v>
      </c>
      <c r="AK59" s="176">
        <f t="shared" si="20"/>
        <v>0</v>
      </c>
      <c r="AL59" s="76">
        <f t="shared" si="28"/>
        <v>351</v>
      </c>
      <c r="AM59" s="215">
        <v>176</v>
      </c>
      <c r="AN59" s="3">
        <f t="shared" si="49"/>
        <v>0</v>
      </c>
      <c r="AO59" s="79">
        <f t="shared" si="54"/>
        <v>0</v>
      </c>
      <c r="AP59" s="81">
        <f t="shared" si="21"/>
        <v>0</v>
      </c>
      <c r="AQ59" s="76">
        <f t="shared" si="29"/>
        <v>411</v>
      </c>
      <c r="AR59" s="33">
        <f t="shared" si="51"/>
        <v>0</v>
      </c>
      <c r="AS59" s="79">
        <f t="shared" si="36"/>
        <v>0</v>
      </c>
      <c r="AT59" s="144">
        <f t="shared" si="37"/>
        <v>0</v>
      </c>
      <c r="AU59" s="4"/>
      <c r="AV59" s="71" t="s">
        <v>26</v>
      </c>
      <c r="AW59" s="64"/>
      <c r="AX59" s="140">
        <f>+AX57</f>
        <v>0</v>
      </c>
      <c r="AY59" s="23"/>
    </row>
    <row r="60" spans="1:51" x14ac:dyDescent="0.2">
      <c r="A60" s="13"/>
      <c r="B60" s="129">
        <f t="shared" si="0"/>
        <v>0</v>
      </c>
      <c r="C60" s="203"/>
      <c r="D60" s="203"/>
      <c r="E60" s="203"/>
      <c r="F60" s="186"/>
      <c r="G60" s="163"/>
      <c r="H60" s="189"/>
      <c r="I60" s="170"/>
      <c r="J60" s="131"/>
      <c r="K60" s="3">
        <f t="shared" si="11"/>
        <v>0</v>
      </c>
      <c r="L60" s="52">
        <f t="shared" si="12"/>
        <v>0</v>
      </c>
      <c r="M60" s="97">
        <f t="shared" si="25"/>
        <v>52</v>
      </c>
      <c r="N60" s="211"/>
      <c r="O60" s="3">
        <f t="shared" si="50"/>
        <v>0</v>
      </c>
      <c r="P60" s="72">
        <f t="shared" si="14"/>
        <v>0</v>
      </c>
      <c r="Q60" s="81">
        <f t="shared" si="15"/>
        <v>0</v>
      </c>
      <c r="R60" s="76">
        <f t="shared" si="16"/>
        <v>112</v>
      </c>
      <c r="S60" s="216"/>
      <c r="T60" s="3">
        <f t="shared" si="45"/>
        <v>0</v>
      </c>
      <c r="U60" s="72">
        <f t="shared" si="31"/>
        <v>0</v>
      </c>
      <c r="V60" s="81">
        <f t="shared" si="17"/>
        <v>0</v>
      </c>
      <c r="W60" s="76">
        <f t="shared" si="38"/>
        <v>172</v>
      </c>
      <c r="X60" s="214"/>
      <c r="Y60" s="3">
        <f t="shared" si="46"/>
        <v>0</v>
      </c>
      <c r="Z60" s="72">
        <f t="shared" si="52"/>
        <v>0</v>
      </c>
      <c r="AA60" s="81">
        <f t="shared" si="18"/>
        <v>0</v>
      </c>
      <c r="AB60" s="76">
        <f t="shared" si="26"/>
        <v>232</v>
      </c>
      <c r="AC60" s="216"/>
      <c r="AD60" s="3">
        <f t="shared" si="47"/>
        <v>0</v>
      </c>
      <c r="AE60" s="72">
        <f t="shared" si="53"/>
        <v>0</v>
      </c>
      <c r="AF60" s="81">
        <f t="shared" si="19"/>
        <v>0</v>
      </c>
      <c r="AG60" s="178">
        <f t="shared" si="27"/>
        <v>292</v>
      </c>
      <c r="AH60" s="211"/>
      <c r="AI60" s="3">
        <f t="shared" si="48"/>
        <v>0</v>
      </c>
      <c r="AJ60" s="72">
        <f t="shared" si="8"/>
        <v>0</v>
      </c>
      <c r="AK60" s="176">
        <f t="shared" si="20"/>
        <v>0</v>
      </c>
      <c r="AL60" s="76">
        <f t="shared" si="28"/>
        <v>352</v>
      </c>
      <c r="AM60" s="216"/>
      <c r="AN60" s="3">
        <f t="shared" si="49"/>
        <v>0</v>
      </c>
      <c r="AO60" s="74">
        <f t="shared" si="54"/>
        <v>0</v>
      </c>
      <c r="AP60" s="81">
        <f t="shared" si="21"/>
        <v>0</v>
      </c>
      <c r="AQ60" s="76">
        <f t="shared" si="29"/>
        <v>412</v>
      </c>
      <c r="AR60" s="33">
        <f t="shared" si="51"/>
        <v>0</v>
      </c>
      <c r="AS60" s="74">
        <f t="shared" si="36"/>
        <v>0</v>
      </c>
      <c r="AT60" s="144">
        <f t="shared" si="37"/>
        <v>0</v>
      </c>
      <c r="AU60" s="24"/>
      <c r="AV60" s="24"/>
      <c r="AW60" s="26"/>
      <c r="AX60" s="26"/>
      <c r="AY60" s="23"/>
    </row>
    <row r="61" spans="1:51" x14ac:dyDescent="0.2">
      <c r="A61" s="13"/>
      <c r="B61" s="129">
        <f t="shared" si="0"/>
        <v>0</v>
      </c>
      <c r="C61" s="129"/>
      <c r="D61" s="129"/>
      <c r="E61" s="129"/>
      <c r="F61" s="185"/>
      <c r="G61" s="162"/>
      <c r="H61" s="189"/>
      <c r="I61" s="169"/>
      <c r="J61" s="131"/>
      <c r="K61" s="3">
        <f t="shared" si="11"/>
        <v>0</v>
      </c>
      <c r="L61" s="52">
        <f t="shared" si="12"/>
        <v>0</v>
      </c>
      <c r="M61" s="97">
        <f t="shared" si="25"/>
        <v>53</v>
      </c>
      <c r="N61" s="211">
        <v>27</v>
      </c>
      <c r="O61" s="3">
        <f t="shared" si="50"/>
        <v>0</v>
      </c>
      <c r="P61" s="72">
        <f t="shared" si="14"/>
        <v>0</v>
      </c>
      <c r="Q61" s="81">
        <f t="shared" si="15"/>
        <v>0</v>
      </c>
      <c r="R61" s="76">
        <f t="shared" si="16"/>
        <v>113</v>
      </c>
      <c r="S61" s="215">
        <v>57</v>
      </c>
      <c r="T61" s="3">
        <f t="shared" si="45"/>
        <v>0</v>
      </c>
      <c r="U61" s="72">
        <f t="shared" si="31"/>
        <v>0</v>
      </c>
      <c r="V61" s="81">
        <f t="shared" si="17"/>
        <v>0</v>
      </c>
      <c r="W61" s="76">
        <f t="shared" si="38"/>
        <v>173</v>
      </c>
      <c r="X61" s="213">
        <v>87</v>
      </c>
      <c r="Y61" s="3">
        <f t="shared" si="46"/>
        <v>0</v>
      </c>
      <c r="Z61" s="72">
        <f t="shared" si="52"/>
        <v>0</v>
      </c>
      <c r="AA61" s="81">
        <f t="shared" si="18"/>
        <v>0</v>
      </c>
      <c r="AB61" s="76">
        <f t="shared" si="26"/>
        <v>233</v>
      </c>
      <c r="AC61" s="215">
        <v>117</v>
      </c>
      <c r="AD61" s="3">
        <f t="shared" si="47"/>
        <v>0</v>
      </c>
      <c r="AE61" s="72">
        <f t="shared" si="53"/>
        <v>0</v>
      </c>
      <c r="AF61" s="81">
        <f t="shared" si="19"/>
        <v>0</v>
      </c>
      <c r="AG61" s="178">
        <f t="shared" si="27"/>
        <v>293</v>
      </c>
      <c r="AH61" s="211">
        <v>147</v>
      </c>
      <c r="AI61" s="3">
        <f t="shared" si="48"/>
        <v>0</v>
      </c>
      <c r="AJ61" s="72">
        <f t="shared" si="8"/>
        <v>0</v>
      </c>
      <c r="AK61" s="176">
        <f t="shared" si="20"/>
        <v>0</v>
      </c>
      <c r="AL61" s="76">
        <f t="shared" si="28"/>
        <v>353</v>
      </c>
      <c r="AM61" s="215">
        <v>177</v>
      </c>
      <c r="AN61" s="3">
        <f t="shared" si="49"/>
        <v>0</v>
      </c>
      <c r="AO61" s="74">
        <f t="shared" si="54"/>
        <v>0</v>
      </c>
      <c r="AP61" s="81">
        <f t="shared" si="21"/>
        <v>0</v>
      </c>
      <c r="AQ61" s="76">
        <f t="shared" si="29"/>
        <v>413</v>
      </c>
      <c r="AR61" s="33">
        <f t="shared" si="51"/>
        <v>0</v>
      </c>
      <c r="AS61" s="74">
        <f t="shared" si="36"/>
        <v>0</v>
      </c>
      <c r="AT61" s="144">
        <f t="shared" si="37"/>
        <v>0</v>
      </c>
      <c r="AU61" s="24"/>
      <c r="AV61" s="115"/>
      <c r="AW61" s="230"/>
      <c r="AX61" s="230"/>
      <c r="AY61" s="23"/>
    </row>
    <row r="62" spans="1:51" x14ac:dyDescent="0.2">
      <c r="A62" s="13"/>
      <c r="B62" s="129">
        <f t="shared" si="0"/>
        <v>0</v>
      </c>
      <c r="C62" s="129"/>
      <c r="D62" s="129"/>
      <c r="E62" s="129"/>
      <c r="F62" s="185"/>
      <c r="G62" s="162"/>
      <c r="H62" s="189"/>
      <c r="I62" s="169"/>
      <c r="J62" s="131"/>
      <c r="K62" s="3">
        <f t="shared" si="11"/>
        <v>0</v>
      </c>
      <c r="L62" s="52">
        <f t="shared" si="12"/>
        <v>0</v>
      </c>
      <c r="M62" s="97">
        <f t="shared" si="25"/>
        <v>54</v>
      </c>
      <c r="N62" s="211"/>
      <c r="O62" s="3">
        <f t="shared" si="50"/>
        <v>0</v>
      </c>
      <c r="P62" s="72">
        <f t="shared" si="14"/>
        <v>0</v>
      </c>
      <c r="Q62" s="81">
        <f t="shared" si="15"/>
        <v>0</v>
      </c>
      <c r="R62" s="76">
        <f t="shared" si="16"/>
        <v>114</v>
      </c>
      <c r="S62" s="216"/>
      <c r="T62" s="3">
        <f t="shared" si="45"/>
        <v>0</v>
      </c>
      <c r="U62" s="72">
        <f t="shared" si="31"/>
        <v>0</v>
      </c>
      <c r="V62" s="81">
        <f t="shared" si="17"/>
        <v>0</v>
      </c>
      <c r="W62" s="76">
        <f t="shared" si="38"/>
        <v>174</v>
      </c>
      <c r="X62" s="214"/>
      <c r="Y62" s="3">
        <f t="shared" si="46"/>
        <v>0</v>
      </c>
      <c r="Z62" s="72">
        <f t="shared" si="52"/>
        <v>0</v>
      </c>
      <c r="AA62" s="81">
        <f t="shared" si="18"/>
        <v>0</v>
      </c>
      <c r="AB62" s="76">
        <f t="shared" si="26"/>
        <v>234</v>
      </c>
      <c r="AC62" s="216"/>
      <c r="AD62" s="3">
        <f t="shared" si="47"/>
        <v>0</v>
      </c>
      <c r="AE62" s="72">
        <f t="shared" si="53"/>
        <v>0</v>
      </c>
      <c r="AF62" s="81">
        <f t="shared" si="19"/>
        <v>0</v>
      </c>
      <c r="AG62" s="178">
        <f t="shared" si="27"/>
        <v>294</v>
      </c>
      <c r="AH62" s="211"/>
      <c r="AI62" s="3">
        <f t="shared" si="48"/>
        <v>0</v>
      </c>
      <c r="AJ62" s="72">
        <f t="shared" si="8"/>
        <v>0</v>
      </c>
      <c r="AK62" s="176">
        <f t="shared" si="20"/>
        <v>0</v>
      </c>
      <c r="AL62" s="76">
        <f t="shared" si="28"/>
        <v>354</v>
      </c>
      <c r="AM62" s="216"/>
      <c r="AN62" s="3">
        <f t="shared" si="49"/>
        <v>0</v>
      </c>
      <c r="AO62" s="74">
        <f t="shared" si="54"/>
        <v>0</v>
      </c>
      <c r="AP62" s="81">
        <f t="shared" si="21"/>
        <v>0</v>
      </c>
      <c r="AQ62" s="76">
        <f t="shared" si="29"/>
        <v>414</v>
      </c>
      <c r="AR62" s="33">
        <f t="shared" si="51"/>
        <v>0</v>
      </c>
      <c r="AS62" s="74">
        <f t="shared" si="36"/>
        <v>0</v>
      </c>
      <c r="AT62" s="144">
        <f t="shared" si="37"/>
        <v>0</v>
      </c>
      <c r="AU62" s="24"/>
      <c r="AV62" s="226"/>
      <c r="AW62" s="226"/>
      <c r="AX62" s="115"/>
      <c r="AY62" s="23"/>
    </row>
    <row r="63" spans="1:51" x14ac:dyDescent="0.2">
      <c r="A63" s="13"/>
      <c r="B63" s="129">
        <f t="shared" si="0"/>
        <v>0</v>
      </c>
      <c r="C63" s="129"/>
      <c r="D63" s="129"/>
      <c r="E63" s="129"/>
      <c r="F63" s="185"/>
      <c r="G63" s="162"/>
      <c r="H63" s="189"/>
      <c r="I63" s="169"/>
      <c r="J63" s="131"/>
      <c r="K63" s="3">
        <f t="shared" si="11"/>
        <v>0</v>
      </c>
      <c r="L63" s="52">
        <f t="shared" si="12"/>
        <v>0</v>
      </c>
      <c r="M63" s="97">
        <f t="shared" si="25"/>
        <v>55</v>
      </c>
      <c r="N63" s="211">
        <v>28</v>
      </c>
      <c r="O63" s="3">
        <f t="shared" si="50"/>
        <v>0</v>
      </c>
      <c r="P63" s="72">
        <f t="shared" si="14"/>
        <v>0</v>
      </c>
      <c r="Q63" s="81">
        <f t="shared" si="15"/>
        <v>0</v>
      </c>
      <c r="R63" s="76">
        <f t="shared" si="16"/>
        <v>115</v>
      </c>
      <c r="S63" s="213">
        <v>58</v>
      </c>
      <c r="T63" s="3">
        <f t="shared" si="45"/>
        <v>0</v>
      </c>
      <c r="U63" s="72">
        <f t="shared" si="31"/>
        <v>0</v>
      </c>
      <c r="V63" s="81">
        <f t="shared" si="17"/>
        <v>0</v>
      </c>
      <c r="W63" s="76">
        <f t="shared" si="38"/>
        <v>175</v>
      </c>
      <c r="X63" s="213">
        <v>88</v>
      </c>
      <c r="Y63" s="3">
        <f t="shared" si="46"/>
        <v>0</v>
      </c>
      <c r="Z63" s="72">
        <f t="shared" si="52"/>
        <v>0</v>
      </c>
      <c r="AA63" s="81">
        <f t="shared" si="18"/>
        <v>0</v>
      </c>
      <c r="AB63" s="76">
        <f t="shared" si="26"/>
        <v>235</v>
      </c>
      <c r="AC63" s="215">
        <v>118</v>
      </c>
      <c r="AD63" s="3">
        <f t="shared" si="47"/>
        <v>0</v>
      </c>
      <c r="AE63" s="72">
        <f t="shared" si="53"/>
        <v>0</v>
      </c>
      <c r="AF63" s="81">
        <f t="shared" si="19"/>
        <v>0</v>
      </c>
      <c r="AG63" s="178">
        <f t="shared" si="27"/>
        <v>295</v>
      </c>
      <c r="AH63" s="211">
        <v>148</v>
      </c>
      <c r="AI63" s="3">
        <f t="shared" si="48"/>
        <v>0</v>
      </c>
      <c r="AJ63" s="72">
        <f t="shared" si="8"/>
        <v>0</v>
      </c>
      <c r="AK63" s="176">
        <f t="shared" si="20"/>
        <v>0</v>
      </c>
      <c r="AL63" s="76">
        <f t="shared" si="28"/>
        <v>355</v>
      </c>
      <c r="AM63" s="215">
        <v>178</v>
      </c>
      <c r="AN63" s="3">
        <f t="shared" si="49"/>
        <v>0</v>
      </c>
      <c r="AO63" s="74">
        <f t="shared" si="54"/>
        <v>0</v>
      </c>
      <c r="AP63" s="81">
        <f t="shared" si="21"/>
        <v>0</v>
      </c>
      <c r="AQ63" s="76">
        <f t="shared" si="29"/>
        <v>415</v>
      </c>
      <c r="AR63" s="33">
        <f t="shared" si="51"/>
        <v>0</v>
      </c>
      <c r="AS63" s="74">
        <f t="shared" si="36"/>
        <v>0</v>
      </c>
      <c r="AT63" s="144">
        <f t="shared" si="37"/>
        <v>0</v>
      </c>
      <c r="AU63" s="24"/>
      <c r="AV63" s="229"/>
      <c r="AW63" s="229"/>
      <c r="AX63" s="136"/>
      <c r="AY63" s="23"/>
    </row>
    <row r="64" spans="1:51" x14ac:dyDescent="0.2">
      <c r="A64" s="13"/>
      <c r="B64" s="129">
        <f t="shared" si="0"/>
        <v>0</v>
      </c>
      <c r="C64" s="129"/>
      <c r="D64" s="129"/>
      <c r="E64" s="129"/>
      <c r="F64" s="185"/>
      <c r="G64" s="162"/>
      <c r="H64" s="189"/>
      <c r="I64" s="169"/>
      <c r="J64" s="131"/>
      <c r="K64" s="3">
        <f t="shared" si="11"/>
        <v>0</v>
      </c>
      <c r="L64" s="52">
        <f t="shared" si="12"/>
        <v>0</v>
      </c>
      <c r="M64" s="97">
        <f t="shared" si="25"/>
        <v>56</v>
      </c>
      <c r="N64" s="211"/>
      <c r="O64" s="3">
        <f t="shared" si="50"/>
        <v>0</v>
      </c>
      <c r="P64" s="72">
        <f t="shared" si="14"/>
        <v>0</v>
      </c>
      <c r="Q64" s="81">
        <f t="shared" si="15"/>
        <v>0</v>
      </c>
      <c r="R64" s="76">
        <f t="shared" si="16"/>
        <v>116</v>
      </c>
      <c r="S64" s="214"/>
      <c r="T64" s="3">
        <f t="shared" si="45"/>
        <v>0</v>
      </c>
      <c r="U64" s="72">
        <f t="shared" si="31"/>
        <v>0</v>
      </c>
      <c r="V64" s="81">
        <f t="shared" si="17"/>
        <v>0</v>
      </c>
      <c r="W64" s="76">
        <f t="shared" si="38"/>
        <v>176</v>
      </c>
      <c r="X64" s="214"/>
      <c r="Y64" s="3">
        <f t="shared" si="46"/>
        <v>0</v>
      </c>
      <c r="Z64" s="72">
        <f t="shared" si="52"/>
        <v>0</v>
      </c>
      <c r="AA64" s="81">
        <f t="shared" si="18"/>
        <v>0</v>
      </c>
      <c r="AB64" s="76">
        <f t="shared" si="26"/>
        <v>236</v>
      </c>
      <c r="AC64" s="216"/>
      <c r="AD64" s="3">
        <f t="shared" si="47"/>
        <v>0</v>
      </c>
      <c r="AE64" s="72">
        <f t="shared" si="53"/>
        <v>0</v>
      </c>
      <c r="AF64" s="81">
        <f t="shared" si="19"/>
        <v>0</v>
      </c>
      <c r="AG64" s="178">
        <f t="shared" si="27"/>
        <v>296</v>
      </c>
      <c r="AH64" s="211"/>
      <c r="AI64" s="3">
        <f t="shared" si="48"/>
        <v>0</v>
      </c>
      <c r="AJ64" s="72">
        <f t="shared" si="8"/>
        <v>0</v>
      </c>
      <c r="AK64" s="176">
        <f t="shared" si="20"/>
        <v>0</v>
      </c>
      <c r="AL64" s="76">
        <f t="shared" si="28"/>
        <v>356</v>
      </c>
      <c r="AM64" s="216"/>
      <c r="AN64" s="3">
        <f t="shared" si="49"/>
        <v>0</v>
      </c>
      <c r="AO64" s="74">
        <f t="shared" si="54"/>
        <v>0</v>
      </c>
      <c r="AP64" s="81">
        <f t="shared" si="21"/>
        <v>0</v>
      </c>
      <c r="AQ64" s="76">
        <f t="shared" si="29"/>
        <v>416</v>
      </c>
      <c r="AR64" s="33">
        <f t="shared" si="51"/>
        <v>0</v>
      </c>
      <c r="AS64" s="74">
        <f t="shared" si="36"/>
        <v>0</v>
      </c>
      <c r="AT64" s="144">
        <f t="shared" si="37"/>
        <v>0</v>
      </c>
      <c r="AU64" s="24"/>
      <c r="AV64" s="115"/>
      <c r="AW64" s="225"/>
      <c r="AX64" s="225"/>
      <c r="AY64" s="23"/>
    </row>
    <row r="65" spans="1:51" x14ac:dyDescent="0.2">
      <c r="A65" s="13"/>
      <c r="B65" s="129">
        <f t="shared" si="0"/>
        <v>0</v>
      </c>
      <c r="C65" s="129"/>
      <c r="D65" s="129"/>
      <c r="E65" s="129"/>
      <c r="F65" s="185"/>
      <c r="G65" s="162"/>
      <c r="H65" s="189"/>
      <c r="I65" s="169"/>
      <c r="J65" s="131"/>
      <c r="K65" s="3">
        <f t="shared" si="11"/>
        <v>0</v>
      </c>
      <c r="L65" s="52">
        <f t="shared" si="12"/>
        <v>0</v>
      </c>
      <c r="M65" s="97">
        <f t="shared" si="25"/>
        <v>57</v>
      </c>
      <c r="N65" s="211">
        <v>29</v>
      </c>
      <c r="O65" s="3">
        <f t="shared" si="50"/>
        <v>0</v>
      </c>
      <c r="P65" s="72">
        <f t="shared" si="14"/>
        <v>0</v>
      </c>
      <c r="Q65" s="81">
        <f t="shared" si="15"/>
        <v>0</v>
      </c>
      <c r="R65" s="76">
        <f t="shared" si="16"/>
        <v>117</v>
      </c>
      <c r="S65" s="239">
        <v>59</v>
      </c>
      <c r="T65" s="3">
        <f t="shared" si="45"/>
        <v>0</v>
      </c>
      <c r="U65" s="72">
        <f t="shared" si="31"/>
        <v>0</v>
      </c>
      <c r="V65" s="81">
        <f t="shared" si="17"/>
        <v>0</v>
      </c>
      <c r="W65" s="76">
        <f t="shared" si="38"/>
        <v>177</v>
      </c>
      <c r="X65" s="213">
        <v>89</v>
      </c>
      <c r="Y65" s="3">
        <f t="shared" si="46"/>
        <v>0</v>
      </c>
      <c r="Z65" s="72">
        <f t="shared" si="52"/>
        <v>0</v>
      </c>
      <c r="AA65" s="81">
        <f t="shared" si="18"/>
        <v>0</v>
      </c>
      <c r="AB65" s="76">
        <f t="shared" si="26"/>
        <v>237</v>
      </c>
      <c r="AC65" s="215">
        <v>119</v>
      </c>
      <c r="AD65" s="3">
        <f t="shared" si="47"/>
        <v>0</v>
      </c>
      <c r="AE65" s="72">
        <f t="shared" si="53"/>
        <v>0</v>
      </c>
      <c r="AF65" s="81">
        <f t="shared" si="19"/>
        <v>0</v>
      </c>
      <c r="AG65" s="178">
        <f t="shared" si="27"/>
        <v>297</v>
      </c>
      <c r="AH65" s="211">
        <v>149</v>
      </c>
      <c r="AI65" s="33">
        <f t="shared" si="48"/>
        <v>0</v>
      </c>
      <c r="AJ65" s="72">
        <f t="shared" si="8"/>
        <v>0</v>
      </c>
      <c r="AK65" s="176">
        <f t="shared" si="20"/>
        <v>0</v>
      </c>
      <c r="AL65" s="76">
        <f t="shared" si="28"/>
        <v>357</v>
      </c>
      <c r="AM65" s="215">
        <v>179</v>
      </c>
      <c r="AN65" s="33">
        <f t="shared" si="49"/>
        <v>0</v>
      </c>
      <c r="AO65" s="74">
        <f t="shared" si="54"/>
        <v>0</v>
      </c>
      <c r="AP65" s="81">
        <f t="shared" si="21"/>
        <v>0</v>
      </c>
      <c r="AQ65" s="76">
        <f t="shared" si="29"/>
        <v>417</v>
      </c>
      <c r="AR65" s="33">
        <f t="shared" si="51"/>
        <v>0</v>
      </c>
      <c r="AS65" s="74">
        <f t="shared" si="36"/>
        <v>0</v>
      </c>
      <c r="AT65" s="144">
        <f t="shared" si="37"/>
        <v>0</v>
      </c>
      <c r="AU65" s="24"/>
      <c r="AV65" s="24"/>
      <c r="AW65" s="26"/>
      <c r="AX65" s="26"/>
      <c r="AY65" s="23"/>
    </row>
    <row r="66" spans="1:51" ht="14.25" customHeight="1" x14ac:dyDescent="0.2">
      <c r="A66" s="13"/>
      <c r="B66" s="129">
        <f t="shared" si="0"/>
        <v>0</v>
      </c>
      <c r="C66" s="129"/>
      <c r="D66" s="129"/>
      <c r="E66" s="129"/>
      <c r="F66" s="185"/>
      <c r="G66" s="162"/>
      <c r="H66" s="189"/>
      <c r="I66" s="169"/>
      <c r="J66" s="131"/>
      <c r="K66" s="3">
        <f t="shared" si="11"/>
        <v>0</v>
      </c>
      <c r="L66" s="52">
        <f t="shared" si="12"/>
        <v>0</v>
      </c>
      <c r="M66" s="97">
        <f t="shared" si="25"/>
        <v>58</v>
      </c>
      <c r="N66" s="211"/>
      <c r="O66" s="3">
        <f t="shared" si="50"/>
        <v>0</v>
      </c>
      <c r="P66" s="72">
        <f t="shared" si="14"/>
        <v>0</v>
      </c>
      <c r="Q66" s="81">
        <f t="shared" si="15"/>
        <v>0</v>
      </c>
      <c r="R66" s="158">
        <f t="shared" si="16"/>
        <v>118</v>
      </c>
      <c r="S66" s="240"/>
      <c r="T66" s="3">
        <f t="shared" si="45"/>
        <v>0</v>
      </c>
      <c r="U66" s="72">
        <f t="shared" si="31"/>
        <v>0</v>
      </c>
      <c r="V66" s="159">
        <f t="shared" si="17"/>
        <v>0</v>
      </c>
      <c r="W66" s="76">
        <f t="shared" si="38"/>
        <v>178</v>
      </c>
      <c r="X66" s="214"/>
      <c r="Y66" s="3">
        <f t="shared" si="46"/>
        <v>0</v>
      </c>
      <c r="Z66" s="72">
        <f t="shared" si="52"/>
        <v>0</v>
      </c>
      <c r="AA66" s="81">
        <f t="shared" si="18"/>
        <v>0</v>
      </c>
      <c r="AB66" s="76">
        <f t="shared" si="26"/>
        <v>238</v>
      </c>
      <c r="AC66" s="216"/>
      <c r="AD66" s="3">
        <f t="shared" si="47"/>
        <v>0</v>
      </c>
      <c r="AE66" s="72">
        <f t="shared" si="53"/>
        <v>0</v>
      </c>
      <c r="AF66" s="81">
        <f t="shared" si="19"/>
        <v>0</v>
      </c>
      <c r="AG66" s="178">
        <f t="shared" si="27"/>
        <v>298</v>
      </c>
      <c r="AH66" s="211"/>
      <c r="AI66" s="33">
        <f t="shared" si="48"/>
        <v>0</v>
      </c>
      <c r="AJ66" s="72">
        <f t="shared" si="8"/>
        <v>0</v>
      </c>
      <c r="AK66" s="176">
        <f t="shared" si="20"/>
        <v>0</v>
      </c>
      <c r="AL66" s="76">
        <f t="shared" si="28"/>
        <v>358</v>
      </c>
      <c r="AM66" s="216"/>
      <c r="AN66" s="33">
        <f t="shared" si="49"/>
        <v>0</v>
      </c>
      <c r="AO66" s="74">
        <f t="shared" si="54"/>
        <v>0</v>
      </c>
      <c r="AP66" s="81">
        <f t="shared" si="21"/>
        <v>0</v>
      </c>
      <c r="AQ66" s="76">
        <f t="shared" si="29"/>
        <v>418</v>
      </c>
      <c r="AR66" s="33">
        <f t="shared" si="51"/>
        <v>0</v>
      </c>
      <c r="AS66" s="74">
        <f t="shared" si="36"/>
        <v>0</v>
      </c>
      <c r="AT66" s="144">
        <f t="shared" si="37"/>
        <v>0</v>
      </c>
      <c r="AU66" s="39"/>
      <c r="AV66" s="16"/>
      <c r="AW66" s="40" t="s">
        <v>27</v>
      </c>
      <c r="AX66" s="41" t="s">
        <v>28</v>
      </c>
      <c r="AY66" s="23"/>
    </row>
    <row r="67" spans="1:51" x14ac:dyDescent="0.2">
      <c r="A67" s="13"/>
      <c r="B67" s="129">
        <f t="shared" si="0"/>
        <v>0</v>
      </c>
      <c r="C67" s="129"/>
      <c r="D67" s="129"/>
      <c r="E67" s="129"/>
      <c r="F67" s="185"/>
      <c r="G67" s="162"/>
      <c r="H67" s="189"/>
      <c r="I67" s="169"/>
      <c r="J67" s="131"/>
      <c r="K67" s="3">
        <f t="shared" si="11"/>
        <v>0</v>
      </c>
      <c r="L67" s="52">
        <f t="shared" si="12"/>
        <v>0</v>
      </c>
      <c r="M67" s="97">
        <f t="shared" si="25"/>
        <v>59</v>
      </c>
      <c r="N67" s="211">
        <v>30</v>
      </c>
      <c r="O67" s="3">
        <f t="shared" si="50"/>
        <v>0</v>
      </c>
      <c r="P67" s="72">
        <f t="shared" si="14"/>
        <v>0</v>
      </c>
      <c r="Q67" s="81">
        <f t="shared" si="15"/>
        <v>0</v>
      </c>
      <c r="R67" s="158">
        <f t="shared" si="16"/>
        <v>119</v>
      </c>
      <c r="S67" s="239">
        <v>60</v>
      </c>
      <c r="T67" s="3">
        <f t="shared" si="45"/>
        <v>0</v>
      </c>
      <c r="U67" s="72">
        <f t="shared" si="31"/>
        <v>0</v>
      </c>
      <c r="V67" s="159">
        <f t="shared" si="17"/>
        <v>0</v>
      </c>
      <c r="W67" s="76">
        <f t="shared" si="38"/>
        <v>179</v>
      </c>
      <c r="X67" s="213">
        <v>90</v>
      </c>
      <c r="Y67" s="3">
        <f t="shared" si="46"/>
        <v>0</v>
      </c>
      <c r="Z67" s="72">
        <f t="shared" si="52"/>
        <v>0</v>
      </c>
      <c r="AA67" s="81">
        <f t="shared" si="18"/>
        <v>0</v>
      </c>
      <c r="AB67" s="97">
        <f t="shared" si="26"/>
        <v>239</v>
      </c>
      <c r="AC67" s="215">
        <v>120</v>
      </c>
      <c r="AD67" s="3">
        <f t="shared" si="47"/>
        <v>0</v>
      </c>
      <c r="AE67" s="72">
        <f t="shared" si="53"/>
        <v>0</v>
      </c>
      <c r="AF67" s="81">
        <f t="shared" si="19"/>
        <v>0</v>
      </c>
      <c r="AG67" s="178">
        <f t="shared" si="27"/>
        <v>299</v>
      </c>
      <c r="AH67" s="211">
        <v>150</v>
      </c>
      <c r="AI67" s="3">
        <f t="shared" si="48"/>
        <v>0</v>
      </c>
      <c r="AJ67" s="72">
        <f t="shared" si="8"/>
        <v>0</v>
      </c>
      <c r="AK67" s="176">
        <f t="shared" si="20"/>
        <v>0</v>
      </c>
      <c r="AL67" s="76">
        <f t="shared" si="28"/>
        <v>359</v>
      </c>
      <c r="AM67" s="215">
        <v>180</v>
      </c>
      <c r="AN67" s="3">
        <f t="shared" si="49"/>
        <v>0</v>
      </c>
      <c r="AO67" s="74">
        <f t="shared" si="54"/>
        <v>0</v>
      </c>
      <c r="AP67" s="81">
        <f t="shared" si="21"/>
        <v>0</v>
      </c>
      <c r="AQ67" s="76">
        <f t="shared" si="29"/>
        <v>419</v>
      </c>
      <c r="AR67" s="33">
        <f t="shared" si="51"/>
        <v>0</v>
      </c>
      <c r="AS67" s="74">
        <f t="shared" si="36"/>
        <v>0</v>
      </c>
      <c r="AT67" s="144">
        <f t="shared" si="37"/>
        <v>0</v>
      </c>
      <c r="AU67" s="39"/>
      <c r="AV67" s="16"/>
      <c r="AW67" s="42" t="s">
        <v>29</v>
      </c>
      <c r="AX67" s="43" t="s">
        <v>30</v>
      </c>
      <c r="AY67" s="23"/>
    </row>
    <row r="68" spans="1:51" ht="13.5" thickBot="1" x14ac:dyDescent="0.25">
      <c r="A68" s="13"/>
      <c r="B68" s="129">
        <f t="shared" si="0"/>
        <v>0</v>
      </c>
      <c r="C68" s="129"/>
      <c r="D68" s="129"/>
      <c r="E68" s="129"/>
      <c r="F68" s="185"/>
      <c r="G68" s="162"/>
      <c r="H68" s="189"/>
      <c r="I68" s="169"/>
      <c r="J68" s="131"/>
      <c r="K68" s="9">
        <f t="shared" si="11"/>
        <v>0</v>
      </c>
      <c r="L68" s="52">
        <f t="shared" si="12"/>
        <v>0</v>
      </c>
      <c r="M68" s="101">
        <f t="shared" si="25"/>
        <v>60</v>
      </c>
      <c r="N68" s="238"/>
      <c r="O68" s="54">
        <f t="shared" si="50"/>
        <v>0</v>
      </c>
      <c r="P68" s="54">
        <f t="shared" si="14"/>
        <v>0</v>
      </c>
      <c r="Q68" s="87">
        <f t="shared" si="15"/>
        <v>0</v>
      </c>
      <c r="R68" s="207">
        <f t="shared" si="16"/>
        <v>120</v>
      </c>
      <c r="S68" s="241"/>
      <c r="T68" s="54">
        <f t="shared" si="45"/>
        <v>0</v>
      </c>
      <c r="U68" s="54">
        <f t="shared" si="31"/>
        <v>0</v>
      </c>
      <c r="V68" s="87">
        <f t="shared" si="17"/>
        <v>0</v>
      </c>
      <c r="W68" s="94">
        <f t="shared" si="38"/>
        <v>180</v>
      </c>
      <c r="X68" s="237"/>
      <c r="Y68" s="54">
        <f t="shared" si="46"/>
        <v>0</v>
      </c>
      <c r="Z68" s="54">
        <f t="shared" si="52"/>
        <v>0</v>
      </c>
      <c r="AA68" s="87">
        <f t="shared" si="18"/>
        <v>0</v>
      </c>
      <c r="AB68" s="101">
        <f t="shared" si="26"/>
        <v>240</v>
      </c>
      <c r="AC68" s="236"/>
      <c r="AD68" s="54">
        <f t="shared" si="47"/>
        <v>0</v>
      </c>
      <c r="AE68" s="54">
        <f t="shared" si="53"/>
        <v>0</v>
      </c>
      <c r="AF68" s="87">
        <f t="shared" si="19"/>
        <v>0</v>
      </c>
      <c r="AG68" s="179">
        <f t="shared" si="27"/>
        <v>300</v>
      </c>
      <c r="AH68" s="238"/>
      <c r="AI68" s="54">
        <f t="shared" si="48"/>
        <v>0</v>
      </c>
      <c r="AJ68" s="54">
        <f t="shared" si="8"/>
        <v>0</v>
      </c>
      <c r="AK68" s="182">
        <f t="shared" si="20"/>
        <v>0</v>
      </c>
      <c r="AL68" s="101">
        <f t="shared" si="28"/>
        <v>360</v>
      </c>
      <c r="AM68" s="236"/>
      <c r="AN68" s="54">
        <f t="shared" si="49"/>
        <v>0</v>
      </c>
      <c r="AO68" s="54">
        <f t="shared" si="54"/>
        <v>0</v>
      </c>
      <c r="AP68" s="156">
        <f t="shared" si="21"/>
        <v>0</v>
      </c>
      <c r="AQ68" s="94">
        <f t="shared" si="29"/>
        <v>420</v>
      </c>
      <c r="AR68" s="54">
        <f t="shared" si="51"/>
        <v>0</v>
      </c>
      <c r="AS68" s="54">
        <f t="shared" si="36"/>
        <v>0</v>
      </c>
      <c r="AT68" s="151">
        <f t="shared" si="37"/>
        <v>0</v>
      </c>
      <c r="AU68" s="24"/>
      <c r="AV68" s="24"/>
      <c r="AW68" s="26"/>
      <c r="AX68" s="26"/>
      <c r="AY68" s="23"/>
    </row>
    <row r="69" spans="1:51" ht="13.5" thickTop="1" x14ac:dyDescent="0.2">
      <c r="A69" s="13"/>
      <c r="B69" s="129">
        <f t="shared" si="0"/>
        <v>0</v>
      </c>
      <c r="C69" s="129"/>
      <c r="D69" s="129"/>
      <c r="E69" s="129"/>
      <c r="F69" s="185"/>
      <c r="G69" s="162"/>
      <c r="H69" s="189"/>
      <c r="I69" s="169"/>
      <c r="J69" s="131"/>
      <c r="K69" s="5">
        <f t="shared" si="11"/>
        <v>0</v>
      </c>
      <c r="L69" s="52">
        <f t="shared" si="12"/>
        <v>0</v>
      </c>
      <c r="M69" s="22"/>
      <c r="N69" s="22"/>
      <c r="O69" s="23"/>
      <c r="P69" s="23"/>
      <c r="Q69" s="23"/>
      <c r="R69" s="22"/>
      <c r="S69" s="22"/>
      <c r="T69" s="23"/>
      <c r="U69" s="23"/>
      <c r="V69" s="23"/>
      <c r="W69" s="22"/>
      <c r="X69" s="22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2"/>
      <c r="AM69" s="22"/>
      <c r="AN69" s="23"/>
      <c r="AO69" s="23"/>
      <c r="AP69" s="23"/>
      <c r="AQ69" s="23"/>
      <c r="AR69" s="23"/>
      <c r="AS69" s="23"/>
      <c r="AT69" s="23"/>
      <c r="AU69" s="24"/>
      <c r="AV69" s="24"/>
      <c r="AW69" s="26"/>
      <c r="AX69" s="26"/>
      <c r="AY69" s="10"/>
    </row>
    <row r="70" spans="1:51" x14ac:dyDescent="0.2">
      <c r="A70" s="13"/>
      <c r="B70" s="129">
        <f t="shared" si="0"/>
        <v>0</v>
      </c>
      <c r="C70" s="129"/>
      <c r="D70" s="129"/>
      <c r="E70" s="129"/>
      <c r="F70" s="185"/>
      <c r="G70" s="162"/>
      <c r="H70" s="189"/>
      <c r="I70" s="169"/>
      <c r="J70" s="131"/>
      <c r="K70" s="3">
        <f t="shared" si="11"/>
        <v>0</v>
      </c>
      <c r="L70" s="52">
        <f t="shared" si="12"/>
        <v>0</v>
      </c>
      <c r="AV70" s="105"/>
      <c r="AY70" s="10"/>
    </row>
    <row r="71" spans="1:51" x14ac:dyDescent="0.2">
      <c r="A71" s="13"/>
      <c r="B71" s="129">
        <f t="shared" si="0"/>
        <v>0</v>
      </c>
      <c r="C71" s="129"/>
      <c r="D71" s="129"/>
      <c r="E71" s="129"/>
      <c r="F71" s="185"/>
      <c r="G71" s="162"/>
      <c r="H71" s="189"/>
      <c r="I71" s="169"/>
      <c r="J71" s="131"/>
      <c r="K71" s="3">
        <f t="shared" si="11"/>
        <v>0</v>
      </c>
      <c r="L71" s="52">
        <f t="shared" si="12"/>
        <v>0</v>
      </c>
      <c r="AU71" s="141"/>
      <c r="AV71" s="227"/>
      <c r="AW71" s="227"/>
      <c r="AY71" s="10"/>
    </row>
    <row r="72" spans="1:51" x14ac:dyDescent="0.2">
      <c r="A72" s="13"/>
      <c r="B72" s="129">
        <f t="shared" si="0"/>
        <v>0</v>
      </c>
      <c r="C72" s="203"/>
      <c r="D72" s="203"/>
      <c r="E72" s="203"/>
      <c r="F72" s="186"/>
      <c r="G72" s="163"/>
      <c r="H72" s="189"/>
      <c r="I72" s="170"/>
      <c r="J72" s="131"/>
      <c r="K72" s="3">
        <f t="shared" si="11"/>
        <v>0</v>
      </c>
      <c r="L72" s="52">
        <f t="shared" si="12"/>
        <v>0</v>
      </c>
      <c r="AV72" s="228"/>
      <c r="AW72" s="228"/>
      <c r="AX72" s="114"/>
      <c r="AY72" s="10"/>
    </row>
    <row r="73" spans="1:51" x14ac:dyDescent="0.2">
      <c r="A73" s="13"/>
      <c r="B73" s="129">
        <f t="shared" ref="B73:B136" si="55">+J73-G73</f>
        <v>0</v>
      </c>
      <c r="C73" s="129"/>
      <c r="D73" s="129"/>
      <c r="E73" s="129"/>
      <c r="F73" s="185"/>
      <c r="G73" s="162"/>
      <c r="H73" s="189"/>
      <c r="I73" s="169"/>
      <c r="J73" s="131"/>
      <c r="K73" s="3">
        <f t="shared" si="11"/>
        <v>0</v>
      </c>
      <c r="L73" s="52">
        <f t="shared" si="12"/>
        <v>0</v>
      </c>
      <c r="AK73" s="105"/>
      <c r="AX73" s="114"/>
      <c r="AY73" s="10"/>
    </row>
    <row r="74" spans="1:51" x14ac:dyDescent="0.2">
      <c r="A74" s="13"/>
      <c r="B74" s="129">
        <f t="shared" si="55"/>
        <v>0</v>
      </c>
      <c r="C74" s="129"/>
      <c r="D74" s="129"/>
      <c r="E74" s="129"/>
      <c r="F74" s="185"/>
      <c r="G74" s="162"/>
      <c r="H74" s="189"/>
      <c r="I74" s="169"/>
      <c r="J74" s="131"/>
      <c r="K74" s="3">
        <f t="shared" ref="K74:K137" si="56">J74+K73</f>
        <v>0</v>
      </c>
      <c r="L74" s="52">
        <f t="shared" ref="L74:L137" si="57">+K74+$AX$58+$AU$10+$AU$11+$AU$12</f>
        <v>0</v>
      </c>
      <c r="AK74" s="105"/>
      <c r="AY74" s="10"/>
    </row>
    <row r="75" spans="1:51" x14ac:dyDescent="0.2">
      <c r="A75" s="13"/>
      <c r="B75" s="129">
        <f t="shared" si="55"/>
        <v>0</v>
      </c>
      <c r="C75" s="129"/>
      <c r="D75" s="129"/>
      <c r="E75" s="129"/>
      <c r="F75" s="185"/>
      <c r="G75" s="162"/>
      <c r="H75" s="189"/>
      <c r="I75" s="169"/>
      <c r="J75" s="131"/>
      <c r="K75" s="3">
        <f t="shared" si="56"/>
        <v>0</v>
      </c>
      <c r="L75" s="52">
        <f t="shared" si="57"/>
        <v>0</v>
      </c>
      <c r="AK75" s="105"/>
      <c r="AV75" s="10"/>
      <c r="AY75" s="10"/>
    </row>
    <row r="76" spans="1:51" x14ac:dyDescent="0.2">
      <c r="A76" s="13"/>
      <c r="B76" s="129">
        <f t="shared" si="55"/>
        <v>0</v>
      </c>
      <c r="C76" s="129"/>
      <c r="D76" s="129"/>
      <c r="E76" s="129"/>
      <c r="F76" s="185"/>
      <c r="G76" s="162"/>
      <c r="H76" s="189"/>
      <c r="I76" s="169"/>
      <c r="J76" s="131"/>
      <c r="K76" s="3">
        <f t="shared" si="56"/>
        <v>0</v>
      </c>
      <c r="L76" s="52">
        <f t="shared" si="57"/>
        <v>0</v>
      </c>
      <c r="AV76" s="10"/>
      <c r="AY76" s="10"/>
    </row>
    <row r="77" spans="1:51" x14ac:dyDescent="0.2">
      <c r="A77" s="13"/>
      <c r="B77" s="129">
        <f t="shared" si="55"/>
        <v>0</v>
      </c>
      <c r="C77" s="129"/>
      <c r="D77" s="129"/>
      <c r="E77" s="129"/>
      <c r="F77" s="185"/>
      <c r="G77" s="162"/>
      <c r="H77" s="189"/>
      <c r="I77" s="169"/>
      <c r="J77" s="131"/>
      <c r="K77" s="3">
        <f t="shared" si="56"/>
        <v>0</v>
      </c>
      <c r="L77" s="52">
        <f t="shared" si="57"/>
        <v>0</v>
      </c>
      <c r="AY77" s="10"/>
    </row>
    <row r="78" spans="1:51" x14ac:dyDescent="0.2">
      <c r="A78" s="13"/>
      <c r="B78" s="129">
        <f t="shared" si="55"/>
        <v>0</v>
      </c>
      <c r="C78" s="203"/>
      <c r="D78" s="203"/>
      <c r="E78" s="203"/>
      <c r="F78" s="186"/>
      <c r="G78" s="163"/>
      <c r="H78" s="189"/>
      <c r="I78" s="170"/>
      <c r="J78" s="131"/>
      <c r="K78" s="9">
        <f t="shared" si="56"/>
        <v>0</v>
      </c>
      <c r="L78" s="52">
        <f t="shared" si="57"/>
        <v>0</v>
      </c>
      <c r="AY78" s="10"/>
    </row>
    <row r="79" spans="1:51" x14ac:dyDescent="0.2">
      <c r="A79" s="13"/>
      <c r="B79" s="129">
        <f t="shared" si="55"/>
        <v>0</v>
      </c>
      <c r="C79" s="129"/>
      <c r="D79" s="129"/>
      <c r="E79" s="129"/>
      <c r="F79" s="185"/>
      <c r="G79" s="162"/>
      <c r="H79" s="189"/>
      <c r="I79" s="169"/>
      <c r="J79" s="131"/>
      <c r="K79" s="5">
        <f t="shared" si="56"/>
        <v>0</v>
      </c>
      <c r="L79" s="52">
        <f t="shared" si="57"/>
        <v>0</v>
      </c>
      <c r="AY79" s="10"/>
    </row>
    <row r="80" spans="1:51" x14ac:dyDescent="0.2">
      <c r="A80" s="13"/>
      <c r="B80" s="129">
        <f t="shared" si="55"/>
        <v>0</v>
      </c>
      <c r="C80" s="129"/>
      <c r="D80" s="129"/>
      <c r="E80" s="129"/>
      <c r="F80" s="185"/>
      <c r="G80" s="162"/>
      <c r="H80" s="189"/>
      <c r="I80" s="169"/>
      <c r="J80" s="131"/>
      <c r="K80" s="3">
        <f t="shared" si="56"/>
        <v>0</v>
      </c>
      <c r="L80" s="52">
        <f t="shared" si="57"/>
        <v>0</v>
      </c>
      <c r="AY80" s="10"/>
    </row>
    <row r="81" spans="1:51" x14ac:dyDescent="0.2">
      <c r="A81" s="13"/>
      <c r="B81" s="129">
        <f t="shared" si="55"/>
        <v>0</v>
      </c>
      <c r="C81" s="129"/>
      <c r="D81" s="129"/>
      <c r="E81" s="129"/>
      <c r="F81" s="185"/>
      <c r="G81" s="162"/>
      <c r="H81" s="189"/>
      <c r="I81" s="169"/>
      <c r="J81" s="131"/>
      <c r="K81" s="3">
        <f t="shared" si="56"/>
        <v>0</v>
      </c>
      <c r="L81" s="52">
        <f t="shared" si="57"/>
        <v>0</v>
      </c>
      <c r="AY81" s="10"/>
    </row>
    <row r="82" spans="1:51" x14ac:dyDescent="0.2">
      <c r="A82" s="13"/>
      <c r="B82" s="129">
        <f t="shared" si="55"/>
        <v>0</v>
      </c>
      <c r="C82" s="129"/>
      <c r="D82" s="129"/>
      <c r="E82" s="129"/>
      <c r="F82" s="185"/>
      <c r="G82" s="162"/>
      <c r="H82" s="189"/>
      <c r="I82" s="169"/>
      <c r="J82" s="131"/>
      <c r="K82" s="3">
        <f t="shared" si="56"/>
        <v>0</v>
      </c>
      <c r="L82" s="52">
        <f t="shared" si="57"/>
        <v>0</v>
      </c>
      <c r="AY82" s="10"/>
    </row>
    <row r="83" spans="1:51" x14ac:dyDescent="0.2">
      <c r="A83" s="13"/>
      <c r="B83" s="129">
        <f t="shared" si="55"/>
        <v>0</v>
      </c>
      <c r="C83" s="129"/>
      <c r="D83" s="129"/>
      <c r="E83" s="129"/>
      <c r="F83" s="185"/>
      <c r="G83" s="162"/>
      <c r="H83" s="189"/>
      <c r="I83" s="169"/>
      <c r="J83" s="131"/>
      <c r="K83" s="3">
        <f t="shared" si="56"/>
        <v>0</v>
      </c>
      <c r="L83" s="52">
        <f t="shared" si="57"/>
        <v>0</v>
      </c>
      <c r="AY83" s="10"/>
    </row>
    <row r="84" spans="1:51" x14ac:dyDescent="0.2">
      <c r="A84" s="13"/>
      <c r="B84" s="129">
        <f t="shared" si="55"/>
        <v>0</v>
      </c>
      <c r="C84" s="203"/>
      <c r="D84" s="203"/>
      <c r="E84" s="203"/>
      <c r="F84" s="186"/>
      <c r="G84" s="163"/>
      <c r="H84" s="189"/>
      <c r="I84" s="170"/>
      <c r="J84" s="131"/>
      <c r="K84" s="3">
        <f t="shared" si="56"/>
        <v>0</v>
      </c>
      <c r="L84" s="52">
        <f t="shared" si="57"/>
        <v>0</v>
      </c>
      <c r="AY84" s="10"/>
    </row>
    <row r="85" spans="1:51" x14ac:dyDescent="0.2">
      <c r="A85" s="13"/>
      <c r="B85" s="129">
        <f t="shared" si="55"/>
        <v>0</v>
      </c>
      <c r="C85" s="129"/>
      <c r="D85" s="129"/>
      <c r="E85" s="129"/>
      <c r="F85" s="185"/>
      <c r="G85" s="162"/>
      <c r="H85" s="189"/>
      <c r="I85" s="169"/>
      <c r="J85" s="131"/>
      <c r="K85" s="3">
        <f t="shared" si="56"/>
        <v>0</v>
      </c>
      <c r="L85" s="52">
        <f t="shared" si="57"/>
        <v>0</v>
      </c>
      <c r="AY85" s="10"/>
    </row>
    <row r="86" spans="1:51" x14ac:dyDescent="0.2">
      <c r="A86" s="13"/>
      <c r="B86" s="129">
        <f t="shared" si="55"/>
        <v>0</v>
      </c>
      <c r="C86" s="129"/>
      <c r="D86" s="129"/>
      <c r="E86" s="129"/>
      <c r="F86" s="185"/>
      <c r="G86" s="162"/>
      <c r="H86" s="189"/>
      <c r="I86" s="169"/>
      <c r="J86" s="131"/>
      <c r="K86" s="3">
        <f t="shared" si="56"/>
        <v>0</v>
      </c>
      <c r="L86" s="52">
        <f t="shared" si="57"/>
        <v>0</v>
      </c>
      <c r="AY86" s="10"/>
    </row>
    <row r="87" spans="1:51" x14ac:dyDescent="0.2">
      <c r="A87" s="13"/>
      <c r="B87" s="129">
        <f t="shared" si="55"/>
        <v>0</v>
      </c>
      <c r="C87" s="129"/>
      <c r="D87" s="129"/>
      <c r="E87" s="129"/>
      <c r="F87" s="185"/>
      <c r="G87" s="162"/>
      <c r="H87" s="189"/>
      <c r="I87" s="169"/>
      <c r="J87" s="131"/>
      <c r="K87" s="3">
        <f t="shared" si="56"/>
        <v>0</v>
      </c>
      <c r="L87" s="52">
        <f t="shared" si="57"/>
        <v>0</v>
      </c>
      <c r="AY87" s="10"/>
    </row>
    <row r="88" spans="1:51" x14ac:dyDescent="0.2">
      <c r="A88" s="13"/>
      <c r="B88" s="129">
        <f t="shared" si="55"/>
        <v>0</v>
      </c>
      <c r="C88" s="129"/>
      <c r="D88" s="129"/>
      <c r="E88" s="129"/>
      <c r="F88" s="185"/>
      <c r="G88" s="162"/>
      <c r="H88" s="189"/>
      <c r="I88" s="169"/>
      <c r="J88" s="131"/>
      <c r="K88" s="9">
        <f t="shared" si="56"/>
        <v>0</v>
      </c>
      <c r="L88" s="52">
        <f t="shared" si="57"/>
        <v>0</v>
      </c>
      <c r="AY88" s="10"/>
    </row>
    <row r="89" spans="1:51" x14ac:dyDescent="0.2">
      <c r="A89" s="13"/>
      <c r="B89" s="129">
        <f t="shared" si="55"/>
        <v>0</v>
      </c>
      <c r="C89" s="129"/>
      <c r="D89" s="129"/>
      <c r="E89" s="129"/>
      <c r="F89" s="185"/>
      <c r="G89" s="162"/>
      <c r="H89" s="189"/>
      <c r="I89" s="169"/>
      <c r="J89" s="131"/>
      <c r="K89" s="5">
        <f t="shared" si="56"/>
        <v>0</v>
      </c>
      <c r="L89" s="52">
        <f t="shared" si="57"/>
        <v>0</v>
      </c>
      <c r="AY89" s="10"/>
    </row>
    <row r="90" spans="1:51" x14ac:dyDescent="0.2">
      <c r="A90" s="13"/>
      <c r="B90" s="129">
        <f t="shared" si="55"/>
        <v>0</v>
      </c>
      <c r="C90" s="203"/>
      <c r="D90" s="203"/>
      <c r="E90" s="203"/>
      <c r="F90" s="186"/>
      <c r="G90" s="163"/>
      <c r="H90" s="189"/>
      <c r="I90" s="170"/>
      <c r="J90" s="131"/>
      <c r="K90" s="3">
        <f t="shared" si="56"/>
        <v>0</v>
      </c>
      <c r="L90" s="52">
        <f t="shared" si="57"/>
        <v>0</v>
      </c>
      <c r="AY90" s="10"/>
    </row>
    <row r="91" spans="1:51" x14ac:dyDescent="0.2">
      <c r="A91" s="13"/>
      <c r="B91" s="129">
        <f t="shared" si="55"/>
        <v>0</v>
      </c>
      <c r="C91" s="129"/>
      <c r="D91" s="129"/>
      <c r="E91" s="129"/>
      <c r="F91" s="185"/>
      <c r="G91" s="162"/>
      <c r="H91" s="189"/>
      <c r="I91" s="169"/>
      <c r="J91" s="131"/>
      <c r="K91" s="3">
        <f t="shared" si="56"/>
        <v>0</v>
      </c>
      <c r="L91" s="52">
        <f t="shared" si="57"/>
        <v>0</v>
      </c>
      <c r="AY91" s="10"/>
    </row>
    <row r="92" spans="1:51" x14ac:dyDescent="0.2">
      <c r="A92" s="13"/>
      <c r="B92" s="129">
        <f t="shared" si="55"/>
        <v>0</v>
      </c>
      <c r="C92" s="129"/>
      <c r="D92" s="129"/>
      <c r="E92" s="129"/>
      <c r="F92" s="185"/>
      <c r="G92" s="162"/>
      <c r="H92" s="189"/>
      <c r="I92" s="169"/>
      <c r="J92" s="131"/>
      <c r="K92" s="3">
        <f t="shared" si="56"/>
        <v>0</v>
      </c>
      <c r="L92" s="52">
        <f t="shared" si="57"/>
        <v>0</v>
      </c>
      <c r="AY92" s="10"/>
    </row>
    <row r="93" spans="1:51" x14ac:dyDescent="0.2">
      <c r="A93" s="13"/>
      <c r="B93" s="129">
        <f t="shared" si="55"/>
        <v>0</v>
      </c>
      <c r="C93" s="129"/>
      <c r="D93" s="129"/>
      <c r="E93" s="129"/>
      <c r="F93" s="185"/>
      <c r="G93" s="162"/>
      <c r="H93" s="189"/>
      <c r="I93" s="169"/>
      <c r="J93" s="131"/>
      <c r="K93" s="3">
        <f t="shared" si="56"/>
        <v>0</v>
      </c>
      <c r="L93" s="52">
        <f t="shared" si="57"/>
        <v>0</v>
      </c>
      <c r="AY93" s="10"/>
    </row>
    <row r="94" spans="1:51" x14ac:dyDescent="0.2">
      <c r="A94" s="13"/>
      <c r="B94" s="129">
        <f t="shared" si="55"/>
        <v>0</v>
      </c>
      <c r="C94" s="129"/>
      <c r="D94" s="129"/>
      <c r="E94" s="129"/>
      <c r="F94" s="185"/>
      <c r="G94" s="162"/>
      <c r="H94" s="189"/>
      <c r="I94" s="169"/>
      <c r="J94" s="131"/>
      <c r="K94" s="3">
        <f t="shared" si="56"/>
        <v>0</v>
      </c>
      <c r="L94" s="52">
        <f t="shared" si="57"/>
        <v>0</v>
      </c>
      <c r="AY94" s="10"/>
    </row>
    <row r="95" spans="1:51" x14ac:dyDescent="0.2">
      <c r="A95" s="13"/>
      <c r="B95" s="129">
        <f t="shared" si="55"/>
        <v>0</v>
      </c>
      <c r="C95" s="129"/>
      <c r="D95" s="129"/>
      <c r="E95" s="129"/>
      <c r="F95" s="185"/>
      <c r="G95" s="162"/>
      <c r="H95" s="189"/>
      <c r="I95" s="169"/>
      <c r="J95" s="131"/>
      <c r="K95" s="3">
        <f t="shared" si="56"/>
        <v>0</v>
      </c>
      <c r="L95" s="52">
        <f t="shared" si="57"/>
        <v>0</v>
      </c>
      <c r="AY95" s="10"/>
    </row>
    <row r="96" spans="1:51" x14ac:dyDescent="0.2">
      <c r="A96" s="13"/>
      <c r="B96" s="129">
        <f t="shared" si="55"/>
        <v>0</v>
      </c>
      <c r="C96" s="203"/>
      <c r="D96" s="203"/>
      <c r="E96" s="203"/>
      <c r="F96" s="186"/>
      <c r="G96" s="163"/>
      <c r="H96" s="189"/>
      <c r="I96" s="170"/>
      <c r="J96" s="131"/>
      <c r="K96" s="3">
        <f t="shared" si="56"/>
        <v>0</v>
      </c>
      <c r="L96" s="52">
        <f t="shared" si="57"/>
        <v>0</v>
      </c>
      <c r="AY96" s="10"/>
    </row>
    <row r="97" spans="1:51" x14ac:dyDescent="0.2">
      <c r="A97" s="13"/>
      <c r="B97" s="129">
        <f t="shared" si="55"/>
        <v>0</v>
      </c>
      <c r="C97" s="129"/>
      <c r="D97" s="129"/>
      <c r="E97" s="129"/>
      <c r="F97" s="185"/>
      <c r="G97" s="162"/>
      <c r="H97" s="189"/>
      <c r="I97" s="169"/>
      <c r="J97" s="131"/>
      <c r="K97" s="3">
        <f t="shared" si="56"/>
        <v>0</v>
      </c>
      <c r="L97" s="52">
        <f t="shared" si="57"/>
        <v>0</v>
      </c>
      <c r="AY97" s="10"/>
    </row>
    <row r="98" spans="1:51" x14ac:dyDescent="0.2">
      <c r="A98" s="13"/>
      <c r="B98" s="129">
        <f t="shared" si="55"/>
        <v>0</v>
      </c>
      <c r="C98" s="129"/>
      <c r="D98" s="129"/>
      <c r="E98" s="129"/>
      <c r="F98" s="185"/>
      <c r="G98" s="162"/>
      <c r="H98" s="189"/>
      <c r="I98" s="169"/>
      <c r="J98" s="131"/>
      <c r="K98" s="9">
        <f t="shared" si="56"/>
        <v>0</v>
      </c>
      <c r="L98" s="52">
        <f t="shared" si="57"/>
        <v>0</v>
      </c>
      <c r="AY98" s="10"/>
    </row>
    <row r="99" spans="1:51" x14ac:dyDescent="0.2">
      <c r="A99" s="13"/>
      <c r="B99" s="129">
        <f t="shared" si="55"/>
        <v>0</v>
      </c>
      <c r="C99" s="129"/>
      <c r="D99" s="129"/>
      <c r="E99" s="129"/>
      <c r="F99" s="185"/>
      <c r="G99" s="162"/>
      <c r="H99" s="189"/>
      <c r="I99" s="169"/>
      <c r="J99" s="131"/>
      <c r="K99" s="5">
        <f t="shared" si="56"/>
        <v>0</v>
      </c>
      <c r="L99" s="52">
        <f t="shared" si="57"/>
        <v>0</v>
      </c>
      <c r="AY99" s="10"/>
    </row>
    <row r="100" spans="1:51" x14ac:dyDescent="0.2">
      <c r="A100" s="13"/>
      <c r="B100" s="129">
        <f t="shared" si="55"/>
        <v>0</v>
      </c>
      <c r="C100" s="129"/>
      <c r="D100" s="129"/>
      <c r="E100" s="129"/>
      <c r="F100" s="185"/>
      <c r="G100" s="162"/>
      <c r="H100" s="189"/>
      <c r="I100" s="169"/>
      <c r="J100" s="131"/>
      <c r="K100" s="3">
        <f t="shared" si="56"/>
        <v>0</v>
      </c>
      <c r="L100" s="52">
        <f t="shared" si="57"/>
        <v>0</v>
      </c>
      <c r="AY100" s="10"/>
    </row>
    <row r="101" spans="1:51" x14ac:dyDescent="0.2">
      <c r="A101" s="13"/>
      <c r="B101" s="129">
        <f t="shared" si="55"/>
        <v>0</v>
      </c>
      <c r="C101" s="129"/>
      <c r="D101" s="129"/>
      <c r="E101" s="129"/>
      <c r="F101" s="185"/>
      <c r="G101" s="162"/>
      <c r="H101" s="189"/>
      <c r="I101" s="169"/>
      <c r="J101" s="131"/>
      <c r="K101" s="3">
        <f t="shared" si="56"/>
        <v>0</v>
      </c>
      <c r="L101" s="52">
        <f t="shared" si="57"/>
        <v>0</v>
      </c>
      <c r="AY101" s="10"/>
    </row>
    <row r="102" spans="1:51" x14ac:dyDescent="0.2">
      <c r="A102" s="13"/>
      <c r="B102" s="129">
        <f t="shared" si="55"/>
        <v>0</v>
      </c>
      <c r="C102" s="203"/>
      <c r="D102" s="203"/>
      <c r="E102" s="203"/>
      <c r="F102" s="186"/>
      <c r="G102" s="163"/>
      <c r="H102" s="189"/>
      <c r="I102" s="170"/>
      <c r="J102" s="131"/>
      <c r="K102" s="3">
        <f t="shared" si="56"/>
        <v>0</v>
      </c>
      <c r="L102" s="52">
        <f t="shared" si="57"/>
        <v>0</v>
      </c>
      <c r="AY102" s="10"/>
    </row>
    <row r="103" spans="1:51" x14ac:dyDescent="0.2">
      <c r="A103" s="13"/>
      <c r="B103" s="129">
        <f t="shared" si="55"/>
        <v>0</v>
      </c>
      <c r="C103" s="129"/>
      <c r="D103" s="129"/>
      <c r="E103" s="129"/>
      <c r="F103" s="185"/>
      <c r="G103" s="162"/>
      <c r="H103" s="189"/>
      <c r="I103" s="169"/>
      <c r="J103" s="131"/>
      <c r="K103" s="3">
        <f t="shared" si="56"/>
        <v>0</v>
      </c>
      <c r="L103" s="52">
        <f t="shared" si="57"/>
        <v>0</v>
      </c>
      <c r="AY103" s="10"/>
    </row>
    <row r="104" spans="1:51" x14ac:dyDescent="0.2">
      <c r="A104" s="13"/>
      <c r="B104" s="129">
        <f t="shared" si="55"/>
        <v>0</v>
      </c>
      <c r="C104" s="129"/>
      <c r="D104" s="129"/>
      <c r="E104" s="129"/>
      <c r="F104" s="185"/>
      <c r="G104" s="162"/>
      <c r="H104" s="189"/>
      <c r="I104" s="169"/>
      <c r="J104" s="131"/>
      <c r="K104" s="3">
        <f t="shared" si="56"/>
        <v>0</v>
      </c>
      <c r="L104" s="52">
        <f t="shared" si="57"/>
        <v>0</v>
      </c>
      <c r="AY104" s="10"/>
    </row>
    <row r="105" spans="1:51" x14ac:dyDescent="0.2">
      <c r="A105" s="13"/>
      <c r="B105" s="129">
        <f t="shared" si="55"/>
        <v>0</v>
      </c>
      <c r="C105" s="129"/>
      <c r="D105" s="129"/>
      <c r="E105" s="129"/>
      <c r="F105" s="185"/>
      <c r="G105" s="162"/>
      <c r="H105" s="189"/>
      <c r="I105" s="169"/>
      <c r="J105" s="131"/>
      <c r="K105" s="3">
        <f t="shared" si="56"/>
        <v>0</v>
      </c>
      <c r="L105" s="52">
        <f t="shared" si="57"/>
        <v>0</v>
      </c>
      <c r="AY105" s="10"/>
    </row>
    <row r="106" spans="1:51" x14ac:dyDescent="0.2">
      <c r="A106" s="13"/>
      <c r="B106" s="129">
        <f t="shared" si="55"/>
        <v>0</v>
      </c>
      <c r="C106" s="129"/>
      <c r="D106" s="129"/>
      <c r="E106" s="129"/>
      <c r="F106" s="185"/>
      <c r="G106" s="162"/>
      <c r="H106" s="189"/>
      <c r="I106" s="169"/>
      <c r="J106" s="131"/>
      <c r="K106" s="3">
        <f t="shared" si="56"/>
        <v>0</v>
      </c>
      <c r="L106" s="52">
        <f t="shared" si="57"/>
        <v>0</v>
      </c>
      <c r="AY106" s="10"/>
    </row>
    <row r="107" spans="1:51" x14ac:dyDescent="0.2">
      <c r="A107" s="13"/>
      <c r="B107" s="129">
        <f t="shared" si="55"/>
        <v>0</v>
      </c>
      <c r="C107" s="203"/>
      <c r="D107" s="203"/>
      <c r="E107" s="203"/>
      <c r="F107" s="186"/>
      <c r="G107" s="163"/>
      <c r="H107" s="189"/>
      <c r="I107" s="170"/>
      <c r="J107" s="131"/>
      <c r="K107" s="3">
        <f t="shared" si="56"/>
        <v>0</v>
      </c>
      <c r="L107" s="52">
        <f t="shared" si="57"/>
        <v>0</v>
      </c>
      <c r="AY107" s="10"/>
    </row>
    <row r="108" spans="1:51" x14ac:dyDescent="0.2">
      <c r="A108" s="13"/>
      <c r="B108" s="129">
        <f t="shared" si="55"/>
        <v>0</v>
      </c>
      <c r="C108" s="129"/>
      <c r="D108" s="129"/>
      <c r="E108" s="129"/>
      <c r="F108" s="185"/>
      <c r="G108" s="162"/>
      <c r="H108" s="189"/>
      <c r="I108" s="169"/>
      <c r="J108" s="131"/>
      <c r="K108" s="9">
        <f t="shared" si="56"/>
        <v>0</v>
      </c>
      <c r="L108" s="52">
        <f t="shared" si="57"/>
        <v>0</v>
      </c>
      <c r="AY108" s="10"/>
    </row>
    <row r="109" spans="1:51" x14ac:dyDescent="0.2">
      <c r="A109" s="13"/>
      <c r="B109" s="129">
        <f t="shared" si="55"/>
        <v>0</v>
      </c>
      <c r="C109" s="129"/>
      <c r="D109" s="129"/>
      <c r="E109" s="129"/>
      <c r="F109" s="185"/>
      <c r="G109" s="162"/>
      <c r="H109" s="189"/>
      <c r="I109" s="169"/>
      <c r="J109" s="131"/>
      <c r="K109" s="5">
        <f t="shared" si="56"/>
        <v>0</v>
      </c>
      <c r="L109" s="52">
        <f t="shared" si="57"/>
        <v>0</v>
      </c>
      <c r="AY109" s="10"/>
    </row>
    <row r="110" spans="1:51" x14ac:dyDescent="0.2">
      <c r="A110" s="13"/>
      <c r="B110" s="129">
        <f t="shared" si="55"/>
        <v>0</v>
      </c>
      <c r="C110" s="129"/>
      <c r="D110" s="129"/>
      <c r="E110" s="129"/>
      <c r="F110" s="185"/>
      <c r="G110" s="162"/>
      <c r="H110" s="189"/>
      <c r="I110" s="169"/>
      <c r="J110" s="131"/>
      <c r="K110" s="3">
        <f t="shared" si="56"/>
        <v>0</v>
      </c>
      <c r="L110" s="52">
        <f t="shared" si="57"/>
        <v>0</v>
      </c>
      <c r="AY110" s="10"/>
    </row>
    <row r="111" spans="1:51" x14ac:dyDescent="0.2">
      <c r="A111" s="13"/>
      <c r="B111" s="129">
        <f t="shared" si="55"/>
        <v>0</v>
      </c>
      <c r="C111" s="129"/>
      <c r="D111" s="129"/>
      <c r="E111" s="129"/>
      <c r="F111" s="185"/>
      <c r="G111" s="162"/>
      <c r="H111" s="189"/>
      <c r="I111" s="169"/>
      <c r="J111" s="131"/>
      <c r="K111" s="3">
        <f t="shared" si="56"/>
        <v>0</v>
      </c>
      <c r="L111" s="52">
        <f t="shared" si="57"/>
        <v>0</v>
      </c>
      <c r="AY111" s="10"/>
    </row>
    <row r="112" spans="1:51" x14ac:dyDescent="0.2">
      <c r="A112" s="13"/>
      <c r="B112" s="129">
        <f t="shared" si="55"/>
        <v>0</v>
      </c>
      <c r="C112" s="129"/>
      <c r="D112" s="129"/>
      <c r="E112" s="129"/>
      <c r="F112" s="185"/>
      <c r="G112" s="162"/>
      <c r="H112" s="189"/>
      <c r="I112" s="169"/>
      <c r="J112" s="131"/>
      <c r="K112" s="3">
        <f t="shared" si="56"/>
        <v>0</v>
      </c>
      <c r="L112" s="52">
        <f t="shared" si="57"/>
        <v>0</v>
      </c>
      <c r="AY112" s="10"/>
    </row>
    <row r="113" spans="1:51" x14ac:dyDescent="0.2">
      <c r="A113" s="13"/>
      <c r="B113" s="129">
        <f t="shared" si="55"/>
        <v>0</v>
      </c>
      <c r="C113" s="129"/>
      <c r="D113" s="129"/>
      <c r="E113" s="129"/>
      <c r="F113" s="185"/>
      <c r="G113" s="162"/>
      <c r="H113" s="189"/>
      <c r="I113" s="169"/>
      <c r="J113" s="131"/>
      <c r="K113" s="3">
        <f t="shared" si="56"/>
        <v>0</v>
      </c>
      <c r="L113" s="52">
        <f t="shared" si="57"/>
        <v>0</v>
      </c>
      <c r="AY113" s="10"/>
    </row>
    <row r="114" spans="1:51" x14ac:dyDescent="0.2">
      <c r="A114" s="13"/>
      <c r="B114" s="129">
        <f t="shared" si="55"/>
        <v>0</v>
      </c>
      <c r="C114" s="129"/>
      <c r="D114" s="129"/>
      <c r="E114" s="129"/>
      <c r="F114" s="185"/>
      <c r="G114" s="162"/>
      <c r="H114" s="189"/>
      <c r="I114" s="169"/>
      <c r="J114" s="131"/>
      <c r="K114" s="3">
        <f t="shared" si="56"/>
        <v>0</v>
      </c>
      <c r="L114" s="52">
        <f t="shared" si="57"/>
        <v>0</v>
      </c>
      <c r="AY114" s="10"/>
    </row>
    <row r="115" spans="1:51" x14ac:dyDescent="0.2">
      <c r="A115" s="13"/>
      <c r="B115" s="129">
        <f t="shared" si="55"/>
        <v>0</v>
      </c>
      <c r="C115" s="129"/>
      <c r="D115" s="129"/>
      <c r="E115" s="129"/>
      <c r="F115" s="185"/>
      <c r="G115" s="162"/>
      <c r="H115" s="189"/>
      <c r="I115" s="169"/>
      <c r="J115" s="131"/>
      <c r="K115" s="3">
        <f t="shared" si="56"/>
        <v>0</v>
      </c>
      <c r="L115" s="52">
        <f t="shared" si="57"/>
        <v>0</v>
      </c>
      <c r="AY115" s="10"/>
    </row>
    <row r="116" spans="1:51" x14ac:dyDescent="0.2">
      <c r="A116" s="13"/>
      <c r="B116" s="129">
        <f t="shared" si="55"/>
        <v>0</v>
      </c>
      <c r="C116" s="129"/>
      <c r="D116" s="129"/>
      <c r="E116" s="129"/>
      <c r="F116" s="185"/>
      <c r="G116" s="162"/>
      <c r="H116" s="189"/>
      <c r="I116" s="169"/>
      <c r="J116" s="131"/>
      <c r="K116" s="3">
        <f t="shared" si="56"/>
        <v>0</v>
      </c>
      <c r="L116" s="52">
        <f t="shared" si="57"/>
        <v>0</v>
      </c>
      <c r="AY116" s="10"/>
    </row>
    <row r="117" spans="1:51" x14ac:dyDescent="0.2">
      <c r="A117" s="13"/>
      <c r="B117" s="129">
        <f t="shared" si="55"/>
        <v>0</v>
      </c>
      <c r="C117" s="129"/>
      <c r="D117" s="129"/>
      <c r="E117" s="129"/>
      <c r="F117" s="185"/>
      <c r="G117" s="162"/>
      <c r="H117" s="189"/>
      <c r="I117" s="169"/>
      <c r="J117" s="131"/>
      <c r="K117" s="3">
        <f t="shared" si="56"/>
        <v>0</v>
      </c>
      <c r="L117" s="52">
        <f t="shared" si="57"/>
        <v>0</v>
      </c>
      <c r="AY117" s="10"/>
    </row>
    <row r="118" spans="1:51" x14ac:dyDescent="0.2">
      <c r="A118" s="13"/>
      <c r="B118" s="129">
        <f t="shared" si="55"/>
        <v>0</v>
      </c>
      <c r="C118" s="129"/>
      <c r="D118" s="129"/>
      <c r="E118" s="129"/>
      <c r="F118" s="185"/>
      <c r="G118" s="162"/>
      <c r="H118" s="189"/>
      <c r="I118" s="169"/>
      <c r="J118" s="131"/>
      <c r="K118" s="9">
        <f t="shared" si="56"/>
        <v>0</v>
      </c>
      <c r="L118" s="52">
        <f t="shared" si="57"/>
        <v>0</v>
      </c>
      <c r="AY118" s="10"/>
    </row>
    <row r="119" spans="1:51" x14ac:dyDescent="0.2">
      <c r="A119" s="13"/>
      <c r="B119" s="129">
        <f t="shared" si="55"/>
        <v>0</v>
      </c>
      <c r="C119" s="203"/>
      <c r="D119" s="203"/>
      <c r="E119" s="203"/>
      <c r="F119" s="186"/>
      <c r="G119" s="163"/>
      <c r="H119" s="189"/>
      <c r="I119" s="170"/>
      <c r="J119" s="131"/>
      <c r="K119" s="5">
        <f t="shared" si="56"/>
        <v>0</v>
      </c>
      <c r="L119" s="52">
        <f t="shared" si="57"/>
        <v>0</v>
      </c>
      <c r="AY119" s="10"/>
    </row>
    <row r="120" spans="1:51" x14ac:dyDescent="0.2">
      <c r="A120" s="13"/>
      <c r="B120" s="129">
        <f t="shared" si="55"/>
        <v>0</v>
      </c>
      <c r="C120" s="129"/>
      <c r="D120" s="129"/>
      <c r="E120" s="129"/>
      <c r="F120" s="185"/>
      <c r="G120" s="162"/>
      <c r="H120" s="189"/>
      <c r="I120" s="169"/>
      <c r="J120" s="131"/>
      <c r="K120" s="3">
        <f t="shared" si="56"/>
        <v>0</v>
      </c>
      <c r="L120" s="52">
        <f t="shared" si="57"/>
        <v>0</v>
      </c>
      <c r="AY120" s="10"/>
    </row>
    <row r="121" spans="1:51" x14ac:dyDescent="0.2">
      <c r="A121" s="13"/>
      <c r="B121" s="129">
        <f t="shared" si="55"/>
        <v>0</v>
      </c>
      <c r="C121" s="129"/>
      <c r="D121" s="129"/>
      <c r="E121" s="129"/>
      <c r="F121" s="185"/>
      <c r="G121" s="162"/>
      <c r="H121" s="189"/>
      <c r="I121" s="169"/>
      <c r="J121" s="131"/>
      <c r="K121" s="3">
        <f t="shared" si="56"/>
        <v>0</v>
      </c>
      <c r="L121" s="52">
        <f t="shared" si="57"/>
        <v>0</v>
      </c>
      <c r="AY121" s="10"/>
    </row>
    <row r="122" spans="1:51" x14ac:dyDescent="0.2">
      <c r="A122" s="13"/>
      <c r="B122" s="129">
        <f t="shared" si="55"/>
        <v>0</v>
      </c>
      <c r="C122" s="129"/>
      <c r="D122" s="129"/>
      <c r="E122" s="129"/>
      <c r="F122" s="185"/>
      <c r="G122" s="162"/>
      <c r="H122" s="189"/>
      <c r="I122" s="169"/>
      <c r="J122" s="131"/>
      <c r="K122" s="3">
        <f t="shared" si="56"/>
        <v>0</v>
      </c>
      <c r="L122" s="52">
        <f t="shared" si="57"/>
        <v>0</v>
      </c>
      <c r="AY122" s="10"/>
    </row>
    <row r="123" spans="1:51" x14ac:dyDescent="0.2">
      <c r="A123" s="13"/>
      <c r="B123" s="129">
        <f t="shared" si="55"/>
        <v>0</v>
      </c>
      <c r="C123" s="129"/>
      <c r="D123" s="129"/>
      <c r="E123" s="129"/>
      <c r="F123" s="185"/>
      <c r="G123" s="162"/>
      <c r="H123" s="189"/>
      <c r="I123" s="169"/>
      <c r="J123" s="131"/>
      <c r="K123" s="3">
        <f t="shared" si="56"/>
        <v>0</v>
      </c>
      <c r="L123" s="52">
        <f t="shared" si="57"/>
        <v>0</v>
      </c>
      <c r="AY123" s="10"/>
    </row>
    <row r="124" spans="1:51" x14ac:dyDescent="0.2">
      <c r="A124" s="13"/>
      <c r="B124" s="129">
        <f t="shared" si="55"/>
        <v>0</v>
      </c>
      <c r="C124" s="129"/>
      <c r="D124" s="129"/>
      <c r="E124" s="129"/>
      <c r="F124" s="185"/>
      <c r="G124" s="162"/>
      <c r="H124" s="189"/>
      <c r="I124" s="169"/>
      <c r="J124" s="131"/>
      <c r="K124" s="3">
        <f t="shared" si="56"/>
        <v>0</v>
      </c>
      <c r="L124" s="52">
        <f t="shared" si="57"/>
        <v>0</v>
      </c>
      <c r="AY124" s="10"/>
    </row>
    <row r="125" spans="1:51" x14ac:dyDescent="0.2">
      <c r="A125" s="13"/>
      <c r="B125" s="129">
        <f t="shared" si="55"/>
        <v>0</v>
      </c>
      <c r="C125" s="203"/>
      <c r="D125" s="203"/>
      <c r="E125" s="203"/>
      <c r="F125" s="186"/>
      <c r="G125" s="163"/>
      <c r="H125" s="189"/>
      <c r="I125" s="170"/>
      <c r="J125" s="131"/>
      <c r="K125" s="3">
        <f t="shared" si="56"/>
        <v>0</v>
      </c>
      <c r="L125" s="52">
        <f t="shared" si="57"/>
        <v>0</v>
      </c>
      <c r="AY125" s="10"/>
    </row>
    <row r="126" spans="1:51" x14ac:dyDescent="0.2">
      <c r="A126" s="13"/>
      <c r="B126" s="129">
        <f t="shared" si="55"/>
        <v>0</v>
      </c>
      <c r="C126" s="129"/>
      <c r="D126" s="129"/>
      <c r="E126" s="129"/>
      <c r="F126" s="185"/>
      <c r="G126" s="162"/>
      <c r="H126" s="189"/>
      <c r="I126" s="169"/>
      <c r="J126" s="131"/>
      <c r="K126" s="3">
        <f t="shared" si="56"/>
        <v>0</v>
      </c>
      <c r="L126" s="52">
        <f t="shared" si="57"/>
        <v>0</v>
      </c>
      <c r="AY126" s="10"/>
    </row>
    <row r="127" spans="1:51" x14ac:dyDescent="0.2">
      <c r="A127" s="13"/>
      <c r="B127" s="129">
        <f t="shared" si="55"/>
        <v>0</v>
      </c>
      <c r="C127" s="129"/>
      <c r="D127" s="129"/>
      <c r="E127" s="129"/>
      <c r="F127" s="185"/>
      <c r="G127" s="162"/>
      <c r="H127" s="189"/>
      <c r="I127" s="169"/>
      <c r="J127" s="131"/>
      <c r="K127" s="3">
        <f t="shared" si="56"/>
        <v>0</v>
      </c>
      <c r="L127" s="52">
        <f t="shared" si="57"/>
        <v>0</v>
      </c>
      <c r="P127" s="105"/>
      <c r="AY127" s="10"/>
    </row>
    <row r="128" spans="1:51" x14ac:dyDescent="0.2">
      <c r="A128" s="13"/>
      <c r="B128" s="129">
        <f t="shared" si="55"/>
        <v>0</v>
      </c>
      <c r="C128" s="129"/>
      <c r="D128" s="129"/>
      <c r="E128" s="129"/>
      <c r="F128" s="185"/>
      <c r="G128" s="162"/>
      <c r="H128" s="189"/>
      <c r="I128" s="169"/>
      <c r="J128" s="131"/>
      <c r="K128" s="9">
        <f t="shared" si="56"/>
        <v>0</v>
      </c>
      <c r="L128" s="52">
        <f t="shared" si="57"/>
        <v>0</v>
      </c>
      <c r="AY128" s="10"/>
    </row>
    <row r="129" spans="1:51" x14ac:dyDescent="0.2">
      <c r="A129" s="13"/>
      <c r="B129" s="129">
        <f t="shared" si="55"/>
        <v>0</v>
      </c>
      <c r="C129" s="129"/>
      <c r="D129" s="129"/>
      <c r="E129" s="129"/>
      <c r="F129" s="185"/>
      <c r="G129" s="162"/>
      <c r="H129" s="189"/>
      <c r="I129" s="169"/>
      <c r="J129" s="131"/>
      <c r="K129" s="5">
        <f t="shared" si="56"/>
        <v>0</v>
      </c>
      <c r="L129" s="52">
        <f t="shared" si="57"/>
        <v>0</v>
      </c>
      <c r="AY129" s="10"/>
    </row>
    <row r="130" spans="1:51" x14ac:dyDescent="0.2">
      <c r="A130" s="13"/>
      <c r="B130" s="129">
        <f t="shared" si="55"/>
        <v>0</v>
      </c>
      <c r="C130" s="129"/>
      <c r="D130" s="129"/>
      <c r="E130" s="129"/>
      <c r="F130" s="185"/>
      <c r="G130" s="162"/>
      <c r="H130" s="189"/>
      <c r="I130" s="169"/>
      <c r="J130" s="131"/>
      <c r="K130" s="3">
        <f t="shared" si="56"/>
        <v>0</v>
      </c>
      <c r="L130" s="52">
        <f t="shared" si="57"/>
        <v>0</v>
      </c>
      <c r="AY130" s="10"/>
    </row>
    <row r="131" spans="1:51" x14ac:dyDescent="0.2">
      <c r="A131" s="13"/>
      <c r="B131" s="129">
        <f t="shared" si="55"/>
        <v>0</v>
      </c>
      <c r="C131" s="129"/>
      <c r="D131" s="129"/>
      <c r="E131" s="129"/>
      <c r="F131" s="185"/>
      <c r="G131" s="162"/>
      <c r="H131" s="189"/>
      <c r="I131" s="169"/>
      <c r="J131" s="131"/>
      <c r="K131" s="3">
        <f t="shared" si="56"/>
        <v>0</v>
      </c>
      <c r="L131" s="52">
        <f t="shared" si="57"/>
        <v>0</v>
      </c>
      <c r="AY131" s="10"/>
    </row>
    <row r="132" spans="1:51" x14ac:dyDescent="0.2">
      <c r="A132" s="13"/>
      <c r="B132" s="129">
        <f t="shared" si="55"/>
        <v>0</v>
      </c>
      <c r="C132" s="129"/>
      <c r="D132" s="129"/>
      <c r="E132" s="129"/>
      <c r="F132" s="185"/>
      <c r="G132" s="162"/>
      <c r="H132" s="189"/>
      <c r="I132" s="169"/>
      <c r="J132" s="131"/>
      <c r="K132" s="3">
        <f t="shared" si="56"/>
        <v>0</v>
      </c>
      <c r="L132" s="52">
        <f t="shared" si="57"/>
        <v>0</v>
      </c>
      <c r="AY132" s="10"/>
    </row>
    <row r="133" spans="1:51" x14ac:dyDescent="0.2">
      <c r="A133" s="13"/>
      <c r="B133" s="129">
        <f t="shared" si="55"/>
        <v>0</v>
      </c>
      <c r="C133" s="129"/>
      <c r="D133" s="129"/>
      <c r="E133" s="129"/>
      <c r="F133" s="185"/>
      <c r="G133" s="162"/>
      <c r="H133" s="189"/>
      <c r="I133" s="169"/>
      <c r="J133" s="131"/>
      <c r="K133" s="3">
        <f t="shared" si="56"/>
        <v>0</v>
      </c>
      <c r="L133" s="52">
        <f t="shared" si="57"/>
        <v>0</v>
      </c>
      <c r="AY133" s="10"/>
    </row>
    <row r="134" spans="1:51" x14ac:dyDescent="0.2">
      <c r="A134" s="13"/>
      <c r="B134" s="129">
        <f t="shared" si="55"/>
        <v>0</v>
      </c>
      <c r="C134" s="129"/>
      <c r="D134" s="129"/>
      <c r="E134" s="129"/>
      <c r="F134" s="185"/>
      <c r="G134" s="162"/>
      <c r="H134" s="189"/>
      <c r="I134" s="169"/>
      <c r="J134" s="131"/>
      <c r="K134" s="3">
        <f t="shared" si="56"/>
        <v>0</v>
      </c>
      <c r="L134" s="52">
        <f t="shared" si="57"/>
        <v>0</v>
      </c>
      <c r="AY134" s="10"/>
    </row>
    <row r="135" spans="1:51" x14ac:dyDescent="0.2">
      <c r="A135" s="13"/>
      <c r="B135" s="129">
        <f t="shared" si="55"/>
        <v>0</v>
      </c>
      <c r="C135" s="129"/>
      <c r="D135" s="129"/>
      <c r="E135" s="129"/>
      <c r="F135" s="185"/>
      <c r="G135" s="162"/>
      <c r="H135" s="189"/>
      <c r="I135" s="169"/>
      <c r="J135" s="131"/>
      <c r="K135" s="3">
        <f t="shared" si="56"/>
        <v>0</v>
      </c>
      <c r="L135" s="52">
        <f t="shared" si="57"/>
        <v>0</v>
      </c>
      <c r="AY135" s="10"/>
    </row>
    <row r="136" spans="1:51" x14ac:dyDescent="0.2">
      <c r="A136" s="13"/>
      <c r="B136" s="129">
        <f t="shared" si="55"/>
        <v>0</v>
      </c>
      <c r="C136" s="129"/>
      <c r="D136" s="129"/>
      <c r="E136" s="129"/>
      <c r="F136" s="185"/>
      <c r="G136" s="162"/>
      <c r="H136" s="189"/>
      <c r="I136" s="169"/>
      <c r="J136" s="131"/>
      <c r="K136" s="3">
        <f t="shared" si="56"/>
        <v>0</v>
      </c>
      <c r="L136" s="52">
        <f t="shared" si="57"/>
        <v>0</v>
      </c>
      <c r="AY136" s="10"/>
    </row>
    <row r="137" spans="1:51" x14ac:dyDescent="0.2">
      <c r="A137" s="13"/>
      <c r="B137" s="129">
        <f t="shared" ref="B137:B200" si="58">+J137-G137</f>
        <v>0</v>
      </c>
      <c r="C137" s="129"/>
      <c r="D137" s="129"/>
      <c r="E137" s="129"/>
      <c r="F137" s="185"/>
      <c r="G137" s="162"/>
      <c r="H137" s="189"/>
      <c r="I137" s="169"/>
      <c r="J137" s="131"/>
      <c r="K137" s="3">
        <f t="shared" si="56"/>
        <v>0</v>
      </c>
      <c r="L137" s="52">
        <f t="shared" si="57"/>
        <v>0</v>
      </c>
      <c r="AY137" s="10"/>
    </row>
    <row r="138" spans="1:51" x14ac:dyDescent="0.2">
      <c r="A138" s="13"/>
      <c r="B138" s="129">
        <f t="shared" si="58"/>
        <v>0</v>
      </c>
      <c r="C138" s="203"/>
      <c r="D138" s="203"/>
      <c r="E138" s="203"/>
      <c r="F138" s="186"/>
      <c r="G138" s="163"/>
      <c r="H138" s="189"/>
      <c r="I138" s="170"/>
      <c r="J138" s="131"/>
      <c r="K138" s="9">
        <f t="shared" ref="K138:K201" si="59">J138+K137</f>
        <v>0</v>
      </c>
      <c r="L138" s="52">
        <f t="shared" ref="L138:L201" si="60">+K138+$AX$58+$AU$10+$AU$11+$AU$12</f>
        <v>0</v>
      </c>
      <c r="P138" s="105"/>
      <c r="AY138" s="10"/>
    </row>
    <row r="139" spans="1:51" x14ac:dyDescent="0.2">
      <c r="A139" s="13"/>
      <c r="B139" s="129">
        <f t="shared" si="58"/>
        <v>0</v>
      </c>
      <c r="C139" s="129"/>
      <c r="D139" s="129"/>
      <c r="E139" s="129"/>
      <c r="F139" s="185"/>
      <c r="G139" s="162"/>
      <c r="H139" s="189"/>
      <c r="I139" s="169"/>
      <c r="J139" s="131"/>
      <c r="K139" s="5">
        <f t="shared" si="59"/>
        <v>0</v>
      </c>
      <c r="L139" s="52">
        <f t="shared" si="60"/>
        <v>0</v>
      </c>
      <c r="AY139" s="10"/>
    </row>
    <row r="140" spans="1:51" x14ac:dyDescent="0.2">
      <c r="A140" s="13"/>
      <c r="B140" s="129">
        <f t="shared" si="58"/>
        <v>0</v>
      </c>
      <c r="C140" s="129"/>
      <c r="D140" s="129"/>
      <c r="E140" s="129"/>
      <c r="F140" s="185"/>
      <c r="G140" s="162"/>
      <c r="H140" s="189"/>
      <c r="I140" s="169"/>
      <c r="J140" s="131"/>
      <c r="K140" s="3">
        <f t="shared" si="59"/>
        <v>0</v>
      </c>
      <c r="L140" s="52">
        <f t="shared" si="60"/>
        <v>0</v>
      </c>
      <c r="AY140" s="10"/>
    </row>
    <row r="141" spans="1:51" x14ac:dyDescent="0.2">
      <c r="A141" s="13"/>
      <c r="B141" s="129">
        <f t="shared" si="58"/>
        <v>0</v>
      </c>
      <c r="C141" s="129"/>
      <c r="D141" s="129"/>
      <c r="E141" s="129"/>
      <c r="F141" s="185"/>
      <c r="G141" s="162"/>
      <c r="H141" s="189"/>
      <c r="I141" s="169"/>
      <c r="J141" s="131"/>
      <c r="K141" s="3">
        <f t="shared" si="59"/>
        <v>0</v>
      </c>
      <c r="L141" s="52">
        <f t="shared" si="60"/>
        <v>0</v>
      </c>
      <c r="AY141" s="10"/>
    </row>
    <row r="142" spans="1:51" x14ac:dyDescent="0.2">
      <c r="A142" s="13"/>
      <c r="B142" s="129">
        <f t="shared" si="58"/>
        <v>0</v>
      </c>
      <c r="C142" s="129"/>
      <c r="D142" s="129"/>
      <c r="E142" s="129"/>
      <c r="F142" s="185"/>
      <c r="G142" s="162"/>
      <c r="H142" s="189"/>
      <c r="I142" s="169"/>
      <c r="J142" s="131"/>
      <c r="K142" s="3">
        <f t="shared" si="59"/>
        <v>0</v>
      </c>
      <c r="L142" s="52">
        <f t="shared" si="60"/>
        <v>0</v>
      </c>
      <c r="AY142" s="10"/>
    </row>
    <row r="143" spans="1:51" x14ac:dyDescent="0.2">
      <c r="A143" s="13"/>
      <c r="B143" s="129">
        <f t="shared" si="58"/>
        <v>0</v>
      </c>
      <c r="C143" s="129"/>
      <c r="D143" s="129"/>
      <c r="E143" s="129"/>
      <c r="F143" s="185"/>
      <c r="G143" s="162"/>
      <c r="H143" s="189"/>
      <c r="I143" s="169"/>
      <c r="J143" s="131"/>
      <c r="K143" s="3">
        <f t="shared" si="59"/>
        <v>0</v>
      </c>
      <c r="L143" s="52">
        <f t="shared" si="60"/>
        <v>0</v>
      </c>
      <c r="AY143" s="10"/>
    </row>
    <row r="144" spans="1:51" x14ac:dyDescent="0.2">
      <c r="A144" s="13"/>
      <c r="B144" s="129">
        <f t="shared" si="58"/>
        <v>0</v>
      </c>
      <c r="C144" s="203"/>
      <c r="D144" s="203"/>
      <c r="E144" s="203"/>
      <c r="F144" s="186"/>
      <c r="G144" s="163"/>
      <c r="H144" s="189"/>
      <c r="I144" s="170"/>
      <c r="J144" s="131"/>
      <c r="K144" s="3">
        <f t="shared" si="59"/>
        <v>0</v>
      </c>
      <c r="L144" s="52">
        <f t="shared" si="60"/>
        <v>0</v>
      </c>
      <c r="AY144" s="10"/>
    </row>
    <row r="145" spans="1:51" x14ac:dyDescent="0.2">
      <c r="A145" s="13"/>
      <c r="B145" s="129">
        <f t="shared" si="58"/>
        <v>0</v>
      </c>
      <c r="C145" s="129"/>
      <c r="D145" s="129"/>
      <c r="E145" s="129"/>
      <c r="F145" s="185"/>
      <c r="G145" s="162"/>
      <c r="H145" s="189"/>
      <c r="I145" s="169"/>
      <c r="J145" s="131"/>
      <c r="K145" s="3">
        <f t="shared" si="59"/>
        <v>0</v>
      </c>
      <c r="L145" s="52">
        <f t="shared" si="60"/>
        <v>0</v>
      </c>
      <c r="AY145" s="10"/>
    </row>
    <row r="146" spans="1:51" x14ac:dyDescent="0.2">
      <c r="A146" s="13"/>
      <c r="B146" s="129">
        <f t="shared" si="58"/>
        <v>0</v>
      </c>
      <c r="C146" s="129"/>
      <c r="D146" s="129"/>
      <c r="E146" s="129"/>
      <c r="F146" s="185"/>
      <c r="G146" s="162"/>
      <c r="H146" s="189"/>
      <c r="I146" s="169"/>
      <c r="J146" s="131"/>
      <c r="K146" s="3">
        <f t="shared" si="59"/>
        <v>0</v>
      </c>
      <c r="L146" s="52">
        <f t="shared" si="60"/>
        <v>0</v>
      </c>
      <c r="AY146" s="10"/>
    </row>
    <row r="147" spans="1:51" x14ac:dyDescent="0.2">
      <c r="A147" s="13"/>
      <c r="B147" s="129">
        <f t="shared" si="58"/>
        <v>0</v>
      </c>
      <c r="C147" s="129"/>
      <c r="D147" s="129"/>
      <c r="E147" s="129"/>
      <c r="F147" s="185"/>
      <c r="G147" s="162"/>
      <c r="H147" s="189"/>
      <c r="I147" s="169"/>
      <c r="J147" s="131"/>
      <c r="K147" s="3">
        <f t="shared" si="59"/>
        <v>0</v>
      </c>
      <c r="L147" s="52">
        <f t="shared" si="60"/>
        <v>0</v>
      </c>
      <c r="AY147" s="10"/>
    </row>
    <row r="148" spans="1:51" x14ac:dyDescent="0.2">
      <c r="A148" s="13"/>
      <c r="B148" s="129">
        <f t="shared" si="58"/>
        <v>0</v>
      </c>
      <c r="C148" s="129"/>
      <c r="D148" s="129"/>
      <c r="E148" s="129"/>
      <c r="F148" s="185"/>
      <c r="G148" s="162"/>
      <c r="H148" s="189"/>
      <c r="I148" s="169"/>
      <c r="J148" s="131"/>
      <c r="K148" s="9">
        <f t="shared" si="59"/>
        <v>0</v>
      </c>
      <c r="L148" s="52">
        <f t="shared" si="60"/>
        <v>0</v>
      </c>
      <c r="AY148" s="10"/>
    </row>
    <row r="149" spans="1:51" x14ac:dyDescent="0.2">
      <c r="A149" s="13"/>
      <c r="B149" s="129">
        <f t="shared" si="58"/>
        <v>0</v>
      </c>
      <c r="C149" s="129"/>
      <c r="D149" s="129"/>
      <c r="E149" s="129"/>
      <c r="F149" s="185"/>
      <c r="G149" s="162"/>
      <c r="H149" s="189"/>
      <c r="I149" s="169"/>
      <c r="J149" s="131"/>
      <c r="K149" s="9">
        <f t="shared" si="59"/>
        <v>0</v>
      </c>
      <c r="L149" s="52">
        <f t="shared" si="60"/>
        <v>0</v>
      </c>
    </row>
    <row r="150" spans="1:51" x14ac:dyDescent="0.2">
      <c r="A150" s="13"/>
      <c r="B150" s="129">
        <f t="shared" si="58"/>
        <v>0</v>
      </c>
      <c r="C150" s="203"/>
      <c r="D150" s="203"/>
      <c r="E150" s="203"/>
      <c r="F150" s="186"/>
      <c r="G150" s="163"/>
      <c r="H150" s="189"/>
      <c r="I150" s="170"/>
      <c r="J150" s="131"/>
      <c r="K150" s="9">
        <f t="shared" si="59"/>
        <v>0</v>
      </c>
      <c r="L150" s="52">
        <f t="shared" si="60"/>
        <v>0</v>
      </c>
    </row>
    <row r="151" spans="1:51" x14ac:dyDescent="0.2">
      <c r="A151" s="13"/>
      <c r="B151" s="129">
        <f t="shared" si="58"/>
        <v>0</v>
      </c>
      <c r="C151" s="129"/>
      <c r="D151" s="129"/>
      <c r="E151" s="129"/>
      <c r="F151" s="185"/>
      <c r="G151" s="162"/>
      <c r="H151" s="189"/>
      <c r="I151" s="169"/>
      <c r="J151" s="131"/>
      <c r="K151" s="9">
        <f t="shared" si="59"/>
        <v>0</v>
      </c>
      <c r="L151" s="52">
        <f t="shared" si="60"/>
        <v>0</v>
      </c>
    </row>
    <row r="152" spans="1:51" x14ac:dyDescent="0.2">
      <c r="A152" s="13"/>
      <c r="B152" s="129">
        <f t="shared" si="58"/>
        <v>0</v>
      </c>
      <c r="C152" s="129"/>
      <c r="D152" s="129"/>
      <c r="E152" s="129"/>
      <c r="F152" s="185"/>
      <c r="G152" s="162"/>
      <c r="H152" s="189"/>
      <c r="I152" s="169"/>
      <c r="J152" s="131"/>
      <c r="K152" s="9">
        <f t="shared" si="59"/>
        <v>0</v>
      </c>
      <c r="L152" s="52">
        <f t="shared" si="60"/>
        <v>0</v>
      </c>
    </row>
    <row r="153" spans="1:51" x14ac:dyDescent="0.2">
      <c r="A153" s="13"/>
      <c r="B153" s="129">
        <f t="shared" si="58"/>
        <v>0</v>
      </c>
      <c r="C153" s="129"/>
      <c r="D153" s="129"/>
      <c r="E153" s="129"/>
      <c r="F153" s="185"/>
      <c r="G153" s="162"/>
      <c r="H153" s="189"/>
      <c r="I153" s="169"/>
      <c r="J153" s="131"/>
      <c r="K153" s="9">
        <f t="shared" si="59"/>
        <v>0</v>
      </c>
      <c r="L153" s="52">
        <f t="shared" si="60"/>
        <v>0</v>
      </c>
    </row>
    <row r="154" spans="1:51" x14ac:dyDescent="0.2">
      <c r="A154" s="13"/>
      <c r="B154" s="129">
        <f t="shared" si="58"/>
        <v>0</v>
      </c>
      <c r="C154" s="129"/>
      <c r="D154" s="129"/>
      <c r="E154" s="129"/>
      <c r="F154" s="185"/>
      <c r="G154" s="162"/>
      <c r="H154" s="189"/>
      <c r="I154" s="169"/>
      <c r="J154" s="131"/>
      <c r="K154" s="9">
        <f t="shared" si="59"/>
        <v>0</v>
      </c>
      <c r="L154" s="52">
        <f t="shared" si="60"/>
        <v>0</v>
      </c>
    </row>
    <row r="155" spans="1:51" x14ac:dyDescent="0.2">
      <c r="A155" s="13"/>
      <c r="B155" s="129">
        <f t="shared" si="58"/>
        <v>0</v>
      </c>
      <c r="C155" s="129"/>
      <c r="D155" s="129"/>
      <c r="E155" s="129"/>
      <c r="F155" s="185"/>
      <c r="G155" s="162"/>
      <c r="H155" s="189"/>
      <c r="I155" s="169"/>
      <c r="J155" s="131"/>
      <c r="K155" s="9">
        <f t="shared" si="59"/>
        <v>0</v>
      </c>
      <c r="L155" s="52">
        <f t="shared" si="60"/>
        <v>0</v>
      </c>
    </row>
    <row r="156" spans="1:51" x14ac:dyDescent="0.2">
      <c r="A156" s="13"/>
      <c r="B156" s="129">
        <f t="shared" si="58"/>
        <v>0</v>
      </c>
      <c r="C156" s="203"/>
      <c r="D156" s="203"/>
      <c r="E156" s="203"/>
      <c r="F156" s="186"/>
      <c r="G156" s="163"/>
      <c r="H156" s="189"/>
      <c r="I156" s="170"/>
      <c r="J156" s="131"/>
      <c r="K156" s="9">
        <f t="shared" si="59"/>
        <v>0</v>
      </c>
      <c r="L156" s="52">
        <f t="shared" si="60"/>
        <v>0</v>
      </c>
    </row>
    <row r="157" spans="1:51" x14ac:dyDescent="0.2">
      <c r="A157" s="13"/>
      <c r="B157" s="129">
        <f t="shared" si="58"/>
        <v>0</v>
      </c>
      <c r="C157" s="129"/>
      <c r="D157" s="129"/>
      <c r="E157" s="129"/>
      <c r="F157" s="185"/>
      <c r="G157" s="162"/>
      <c r="H157" s="189"/>
      <c r="I157" s="169"/>
      <c r="J157" s="131"/>
      <c r="K157" s="9">
        <f t="shared" si="59"/>
        <v>0</v>
      </c>
      <c r="L157" s="52">
        <f t="shared" si="60"/>
        <v>0</v>
      </c>
    </row>
    <row r="158" spans="1:51" x14ac:dyDescent="0.2">
      <c r="A158" s="13"/>
      <c r="B158" s="129">
        <f t="shared" si="58"/>
        <v>0</v>
      </c>
      <c r="C158" s="129"/>
      <c r="D158" s="129"/>
      <c r="E158" s="129"/>
      <c r="F158" s="185"/>
      <c r="G158" s="162"/>
      <c r="H158" s="189"/>
      <c r="I158" s="169"/>
      <c r="J158" s="131"/>
      <c r="K158" s="9">
        <f t="shared" si="59"/>
        <v>0</v>
      </c>
      <c r="L158" s="52">
        <f t="shared" si="60"/>
        <v>0</v>
      </c>
    </row>
    <row r="159" spans="1:51" x14ac:dyDescent="0.2">
      <c r="A159" s="13"/>
      <c r="B159" s="129">
        <f t="shared" si="58"/>
        <v>0</v>
      </c>
      <c r="C159" s="129"/>
      <c r="D159" s="129"/>
      <c r="E159" s="129"/>
      <c r="F159" s="185"/>
      <c r="G159" s="162"/>
      <c r="H159" s="189"/>
      <c r="I159" s="169"/>
      <c r="J159" s="131"/>
      <c r="K159" s="9">
        <f t="shared" si="59"/>
        <v>0</v>
      </c>
      <c r="L159" s="52">
        <f t="shared" si="60"/>
        <v>0</v>
      </c>
    </row>
    <row r="160" spans="1:51" x14ac:dyDescent="0.2">
      <c r="A160" s="13"/>
      <c r="B160" s="129">
        <f t="shared" si="58"/>
        <v>0</v>
      </c>
      <c r="C160" s="129"/>
      <c r="D160" s="129"/>
      <c r="E160" s="129"/>
      <c r="F160" s="185"/>
      <c r="G160" s="162"/>
      <c r="H160" s="189"/>
      <c r="I160" s="169"/>
      <c r="J160" s="131"/>
      <c r="K160" s="9">
        <f t="shared" si="59"/>
        <v>0</v>
      </c>
      <c r="L160" s="52">
        <f t="shared" si="60"/>
        <v>0</v>
      </c>
    </row>
    <row r="161" spans="1:12" x14ac:dyDescent="0.2">
      <c r="A161" s="13"/>
      <c r="B161" s="129">
        <f t="shared" si="58"/>
        <v>0</v>
      </c>
      <c r="C161" s="129"/>
      <c r="D161" s="129"/>
      <c r="E161" s="129"/>
      <c r="F161" s="185"/>
      <c r="G161" s="162"/>
      <c r="H161" s="189"/>
      <c r="I161" s="169"/>
      <c r="J161" s="131"/>
      <c r="K161" s="9">
        <f t="shared" si="59"/>
        <v>0</v>
      </c>
      <c r="L161" s="52">
        <f t="shared" si="60"/>
        <v>0</v>
      </c>
    </row>
    <row r="162" spans="1:12" x14ac:dyDescent="0.2">
      <c r="A162" s="13"/>
      <c r="B162" s="129">
        <f t="shared" si="58"/>
        <v>0</v>
      </c>
      <c r="C162" s="203"/>
      <c r="D162" s="203"/>
      <c r="E162" s="203"/>
      <c r="F162" s="186"/>
      <c r="G162" s="163"/>
      <c r="H162" s="189"/>
      <c r="I162" s="170"/>
      <c r="J162" s="131"/>
      <c r="K162" s="9">
        <f t="shared" si="59"/>
        <v>0</v>
      </c>
      <c r="L162" s="52">
        <f t="shared" si="60"/>
        <v>0</v>
      </c>
    </row>
    <row r="163" spans="1:12" x14ac:dyDescent="0.2">
      <c r="A163" s="13"/>
      <c r="B163" s="129">
        <f t="shared" si="58"/>
        <v>0</v>
      </c>
      <c r="C163" s="129"/>
      <c r="D163" s="129"/>
      <c r="E163" s="129"/>
      <c r="F163" s="185"/>
      <c r="G163" s="162"/>
      <c r="H163" s="189"/>
      <c r="I163" s="169"/>
      <c r="J163" s="131"/>
      <c r="K163" s="9">
        <f t="shared" si="59"/>
        <v>0</v>
      </c>
      <c r="L163" s="52">
        <f t="shared" si="60"/>
        <v>0</v>
      </c>
    </row>
    <row r="164" spans="1:12" x14ac:dyDescent="0.2">
      <c r="A164" s="13"/>
      <c r="B164" s="129">
        <f t="shared" si="58"/>
        <v>0</v>
      </c>
      <c r="C164" s="129"/>
      <c r="D164" s="129"/>
      <c r="E164" s="129"/>
      <c r="F164" s="185"/>
      <c r="G164" s="162"/>
      <c r="H164" s="189"/>
      <c r="I164" s="169"/>
      <c r="J164" s="131"/>
      <c r="K164" s="9">
        <f t="shared" si="59"/>
        <v>0</v>
      </c>
      <c r="L164" s="52">
        <f t="shared" si="60"/>
        <v>0</v>
      </c>
    </row>
    <row r="165" spans="1:12" x14ac:dyDescent="0.2">
      <c r="A165" s="13"/>
      <c r="B165" s="129">
        <f t="shared" si="58"/>
        <v>0</v>
      </c>
      <c r="C165" s="129"/>
      <c r="D165" s="129"/>
      <c r="E165" s="129"/>
      <c r="F165" s="185"/>
      <c r="G165" s="162"/>
      <c r="H165" s="189"/>
      <c r="I165" s="169"/>
      <c r="J165" s="131"/>
      <c r="K165" s="9">
        <f t="shared" si="59"/>
        <v>0</v>
      </c>
      <c r="L165" s="52">
        <f t="shared" si="60"/>
        <v>0</v>
      </c>
    </row>
    <row r="166" spans="1:12" x14ac:dyDescent="0.2">
      <c r="A166" s="13"/>
      <c r="B166" s="129">
        <f t="shared" si="58"/>
        <v>0</v>
      </c>
      <c r="C166" s="129"/>
      <c r="D166" s="129"/>
      <c r="E166" s="129"/>
      <c r="F166" s="185"/>
      <c r="G166" s="162"/>
      <c r="H166" s="189"/>
      <c r="I166" s="169"/>
      <c r="J166" s="131"/>
      <c r="K166" s="9">
        <f t="shared" si="59"/>
        <v>0</v>
      </c>
      <c r="L166" s="52">
        <f t="shared" si="60"/>
        <v>0</v>
      </c>
    </row>
    <row r="167" spans="1:12" x14ac:dyDescent="0.2">
      <c r="A167" s="13"/>
      <c r="B167" s="129">
        <f t="shared" si="58"/>
        <v>0</v>
      </c>
      <c r="C167" s="129"/>
      <c r="D167" s="129"/>
      <c r="E167" s="129"/>
      <c r="F167" s="185"/>
      <c r="G167" s="162"/>
      <c r="H167" s="189"/>
      <c r="I167" s="169"/>
      <c r="J167" s="131"/>
      <c r="K167" s="9">
        <f t="shared" si="59"/>
        <v>0</v>
      </c>
      <c r="L167" s="52">
        <f t="shared" si="60"/>
        <v>0</v>
      </c>
    </row>
    <row r="168" spans="1:12" x14ac:dyDescent="0.2">
      <c r="A168" s="13"/>
      <c r="B168" s="129">
        <f t="shared" si="58"/>
        <v>0</v>
      </c>
      <c r="C168" s="129"/>
      <c r="D168" s="129"/>
      <c r="E168" s="129"/>
      <c r="F168" s="185"/>
      <c r="G168" s="162"/>
      <c r="H168" s="189"/>
      <c r="I168" s="169"/>
      <c r="J168" s="131"/>
      <c r="K168" s="9">
        <f t="shared" si="59"/>
        <v>0</v>
      </c>
      <c r="L168" s="52">
        <f t="shared" si="60"/>
        <v>0</v>
      </c>
    </row>
    <row r="169" spans="1:12" x14ac:dyDescent="0.2">
      <c r="A169" s="13"/>
      <c r="B169" s="129">
        <f t="shared" si="58"/>
        <v>0</v>
      </c>
      <c r="C169" s="129"/>
      <c r="D169" s="129"/>
      <c r="E169" s="129"/>
      <c r="F169" s="185"/>
      <c r="G169" s="162"/>
      <c r="H169" s="189"/>
      <c r="I169" s="169"/>
      <c r="J169" s="131"/>
      <c r="K169" s="9">
        <f t="shared" si="59"/>
        <v>0</v>
      </c>
      <c r="L169" s="52">
        <f t="shared" si="60"/>
        <v>0</v>
      </c>
    </row>
    <row r="170" spans="1:12" x14ac:dyDescent="0.2">
      <c r="A170" s="13"/>
      <c r="B170" s="129">
        <f t="shared" si="58"/>
        <v>0</v>
      </c>
      <c r="C170" s="129"/>
      <c r="D170" s="129"/>
      <c r="E170" s="129"/>
      <c r="F170" s="185"/>
      <c r="G170" s="162"/>
      <c r="H170" s="189"/>
      <c r="I170" s="169"/>
      <c r="J170" s="131"/>
      <c r="K170" s="9">
        <f t="shared" si="59"/>
        <v>0</v>
      </c>
      <c r="L170" s="52">
        <f t="shared" si="60"/>
        <v>0</v>
      </c>
    </row>
    <row r="171" spans="1:12" x14ac:dyDescent="0.2">
      <c r="A171" s="13"/>
      <c r="B171" s="129">
        <f t="shared" si="58"/>
        <v>0</v>
      </c>
      <c r="C171" s="129"/>
      <c r="D171" s="129"/>
      <c r="E171" s="129"/>
      <c r="F171" s="185"/>
      <c r="G171" s="162"/>
      <c r="H171" s="189"/>
      <c r="I171" s="169"/>
      <c r="J171" s="131"/>
      <c r="K171" s="9">
        <f t="shared" si="59"/>
        <v>0</v>
      </c>
      <c r="L171" s="52">
        <f t="shared" si="60"/>
        <v>0</v>
      </c>
    </row>
    <row r="172" spans="1:12" x14ac:dyDescent="0.2">
      <c r="A172" s="13"/>
      <c r="B172" s="129">
        <f t="shared" si="58"/>
        <v>0</v>
      </c>
      <c r="C172" s="129"/>
      <c r="D172" s="129"/>
      <c r="E172" s="129"/>
      <c r="F172" s="185"/>
      <c r="G172" s="162"/>
      <c r="H172" s="189"/>
      <c r="I172" s="169"/>
      <c r="J172" s="131"/>
      <c r="K172" s="9">
        <f t="shared" si="59"/>
        <v>0</v>
      </c>
      <c r="L172" s="52">
        <f t="shared" si="60"/>
        <v>0</v>
      </c>
    </row>
    <row r="173" spans="1:12" x14ac:dyDescent="0.2">
      <c r="A173" s="13"/>
      <c r="B173" s="129">
        <f t="shared" si="58"/>
        <v>0</v>
      </c>
      <c r="C173" s="129"/>
      <c r="D173" s="129"/>
      <c r="E173" s="129"/>
      <c r="F173" s="185"/>
      <c r="G173" s="162"/>
      <c r="H173" s="189"/>
      <c r="I173" s="169"/>
      <c r="J173" s="131"/>
      <c r="K173" s="9">
        <f t="shared" si="59"/>
        <v>0</v>
      </c>
      <c r="L173" s="52">
        <f t="shared" si="60"/>
        <v>0</v>
      </c>
    </row>
    <row r="174" spans="1:12" x14ac:dyDescent="0.2">
      <c r="A174" s="13"/>
      <c r="B174" s="129">
        <f t="shared" si="58"/>
        <v>0</v>
      </c>
      <c r="C174" s="129"/>
      <c r="D174" s="129"/>
      <c r="E174" s="129"/>
      <c r="F174" s="185"/>
      <c r="G174" s="162"/>
      <c r="H174" s="189"/>
      <c r="I174" s="169"/>
      <c r="J174" s="131"/>
      <c r="K174" s="9">
        <f t="shared" si="59"/>
        <v>0</v>
      </c>
      <c r="L174" s="52">
        <f t="shared" si="60"/>
        <v>0</v>
      </c>
    </row>
    <row r="175" spans="1:12" x14ac:dyDescent="0.2">
      <c r="A175" s="13"/>
      <c r="B175" s="129">
        <f t="shared" si="58"/>
        <v>0</v>
      </c>
      <c r="C175" s="129"/>
      <c r="D175" s="129"/>
      <c r="E175" s="129"/>
      <c r="F175" s="185"/>
      <c r="G175" s="162"/>
      <c r="H175" s="189"/>
      <c r="I175" s="169"/>
      <c r="J175" s="131"/>
      <c r="K175" s="9">
        <f t="shared" si="59"/>
        <v>0</v>
      </c>
      <c r="L175" s="52">
        <f t="shared" si="60"/>
        <v>0</v>
      </c>
    </row>
    <row r="176" spans="1:12" x14ac:dyDescent="0.2">
      <c r="A176" s="13"/>
      <c r="B176" s="129">
        <f t="shared" si="58"/>
        <v>0</v>
      </c>
      <c r="C176" s="129"/>
      <c r="D176" s="129"/>
      <c r="E176" s="129"/>
      <c r="F176" s="185"/>
      <c r="G176" s="162"/>
      <c r="H176" s="189"/>
      <c r="I176" s="169"/>
      <c r="J176" s="131"/>
      <c r="K176" s="9">
        <f t="shared" si="59"/>
        <v>0</v>
      </c>
      <c r="L176" s="52">
        <f t="shared" si="60"/>
        <v>0</v>
      </c>
    </row>
    <row r="177" spans="1:12" x14ac:dyDescent="0.2">
      <c r="A177" s="13"/>
      <c r="B177" s="129">
        <f t="shared" si="58"/>
        <v>0</v>
      </c>
      <c r="C177" s="129"/>
      <c r="D177" s="129"/>
      <c r="E177" s="129"/>
      <c r="F177" s="185"/>
      <c r="G177" s="162"/>
      <c r="H177" s="189"/>
      <c r="I177" s="169"/>
      <c r="J177" s="131"/>
      <c r="K177" s="9">
        <f t="shared" si="59"/>
        <v>0</v>
      </c>
      <c r="L177" s="52">
        <f t="shared" si="60"/>
        <v>0</v>
      </c>
    </row>
    <row r="178" spans="1:12" x14ac:dyDescent="0.2">
      <c r="A178" s="13"/>
      <c r="B178" s="129">
        <f t="shared" si="58"/>
        <v>0</v>
      </c>
      <c r="C178" s="129"/>
      <c r="D178" s="129"/>
      <c r="E178" s="129"/>
      <c r="F178" s="185"/>
      <c r="G178" s="162"/>
      <c r="H178" s="189"/>
      <c r="I178" s="169"/>
      <c r="J178" s="131"/>
      <c r="K178" s="9">
        <f t="shared" si="59"/>
        <v>0</v>
      </c>
      <c r="L178" s="52">
        <f t="shared" si="60"/>
        <v>0</v>
      </c>
    </row>
    <row r="179" spans="1:12" x14ac:dyDescent="0.2">
      <c r="A179" s="13"/>
      <c r="B179" s="129">
        <f t="shared" si="58"/>
        <v>0</v>
      </c>
      <c r="C179" s="129"/>
      <c r="D179" s="129"/>
      <c r="E179" s="129"/>
      <c r="F179" s="185"/>
      <c r="G179" s="162"/>
      <c r="H179" s="189"/>
      <c r="I179" s="169"/>
      <c r="J179" s="131"/>
      <c r="K179" s="9">
        <f t="shared" si="59"/>
        <v>0</v>
      </c>
      <c r="L179" s="52">
        <f t="shared" si="60"/>
        <v>0</v>
      </c>
    </row>
    <row r="180" spans="1:12" x14ac:dyDescent="0.2">
      <c r="A180" s="13"/>
      <c r="B180" s="129">
        <f t="shared" si="58"/>
        <v>0</v>
      </c>
      <c r="C180" s="129"/>
      <c r="D180" s="129"/>
      <c r="E180" s="129"/>
      <c r="F180" s="185"/>
      <c r="G180" s="162"/>
      <c r="H180" s="189"/>
      <c r="I180" s="169"/>
      <c r="J180" s="131"/>
      <c r="K180" s="9">
        <f t="shared" si="59"/>
        <v>0</v>
      </c>
      <c r="L180" s="52">
        <f t="shared" si="60"/>
        <v>0</v>
      </c>
    </row>
    <row r="181" spans="1:12" x14ac:dyDescent="0.2">
      <c r="A181" s="13"/>
      <c r="B181" s="129">
        <f t="shared" si="58"/>
        <v>0</v>
      </c>
      <c r="C181" s="129"/>
      <c r="D181" s="129"/>
      <c r="E181" s="129"/>
      <c r="F181" s="185"/>
      <c r="G181" s="162"/>
      <c r="H181" s="189"/>
      <c r="I181" s="169"/>
      <c r="J181" s="131"/>
      <c r="K181" s="9">
        <f t="shared" si="59"/>
        <v>0</v>
      </c>
      <c r="L181" s="52">
        <f t="shared" si="60"/>
        <v>0</v>
      </c>
    </row>
    <row r="182" spans="1:12" x14ac:dyDescent="0.2">
      <c r="A182" s="13"/>
      <c r="B182" s="129">
        <f t="shared" si="58"/>
        <v>0</v>
      </c>
      <c r="C182" s="129"/>
      <c r="D182" s="129"/>
      <c r="E182" s="129"/>
      <c r="F182" s="185"/>
      <c r="G182" s="162"/>
      <c r="H182" s="189"/>
      <c r="I182" s="169"/>
      <c r="J182" s="131"/>
      <c r="K182" s="9">
        <f t="shared" si="59"/>
        <v>0</v>
      </c>
      <c r="L182" s="52">
        <f t="shared" si="60"/>
        <v>0</v>
      </c>
    </row>
    <row r="183" spans="1:12" x14ac:dyDescent="0.2">
      <c r="A183" s="13"/>
      <c r="B183" s="129">
        <f t="shared" si="58"/>
        <v>0</v>
      </c>
      <c r="C183" s="129"/>
      <c r="D183" s="129"/>
      <c r="E183" s="129"/>
      <c r="F183" s="185"/>
      <c r="G183" s="162"/>
      <c r="H183" s="189"/>
      <c r="I183" s="169"/>
      <c r="J183" s="131"/>
      <c r="K183" s="9">
        <f t="shared" si="59"/>
        <v>0</v>
      </c>
      <c r="L183" s="52">
        <f t="shared" si="60"/>
        <v>0</v>
      </c>
    </row>
    <row r="184" spans="1:12" x14ac:dyDescent="0.2">
      <c r="A184" s="13"/>
      <c r="B184" s="129">
        <f t="shared" si="58"/>
        <v>0</v>
      </c>
      <c r="C184" s="129"/>
      <c r="D184" s="129"/>
      <c r="E184" s="129"/>
      <c r="F184" s="185"/>
      <c r="G184" s="162"/>
      <c r="H184" s="189"/>
      <c r="I184" s="169"/>
      <c r="J184" s="131"/>
      <c r="K184" s="9">
        <f t="shared" si="59"/>
        <v>0</v>
      </c>
      <c r="L184" s="52">
        <f t="shared" si="60"/>
        <v>0</v>
      </c>
    </row>
    <row r="185" spans="1:12" x14ac:dyDescent="0.2">
      <c r="A185" s="13"/>
      <c r="B185" s="129">
        <f t="shared" si="58"/>
        <v>0</v>
      </c>
      <c r="C185" s="129"/>
      <c r="D185" s="129"/>
      <c r="E185" s="129"/>
      <c r="F185" s="185"/>
      <c r="G185" s="162"/>
      <c r="H185" s="189"/>
      <c r="I185" s="169"/>
      <c r="J185" s="131"/>
      <c r="K185" s="9">
        <f t="shared" si="59"/>
        <v>0</v>
      </c>
      <c r="L185" s="52">
        <f t="shared" si="60"/>
        <v>0</v>
      </c>
    </row>
    <row r="186" spans="1:12" x14ac:dyDescent="0.2">
      <c r="A186" s="13"/>
      <c r="B186" s="129">
        <f t="shared" si="58"/>
        <v>0</v>
      </c>
      <c r="C186" s="129"/>
      <c r="D186" s="129"/>
      <c r="E186" s="129"/>
      <c r="F186" s="185"/>
      <c r="G186" s="162"/>
      <c r="H186" s="189"/>
      <c r="I186" s="169"/>
      <c r="J186" s="131"/>
      <c r="K186" s="9">
        <f t="shared" si="59"/>
        <v>0</v>
      </c>
      <c r="L186" s="52">
        <f t="shared" si="60"/>
        <v>0</v>
      </c>
    </row>
    <row r="187" spans="1:12" x14ac:dyDescent="0.2">
      <c r="A187" s="13"/>
      <c r="B187" s="129">
        <f t="shared" si="58"/>
        <v>0</v>
      </c>
      <c r="C187" s="129"/>
      <c r="D187" s="129"/>
      <c r="E187" s="129"/>
      <c r="F187" s="185"/>
      <c r="G187" s="162"/>
      <c r="H187" s="189"/>
      <c r="I187" s="169"/>
      <c r="J187" s="131"/>
      <c r="K187" s="9">
        <f t="shared" si="59"/>
        <v>0</v>
      </c>
      <c r="L187" s="52">
        <f t="shared" si="60"/>
        <v>0</v>
      </c>
    </row>
    <row r="188" spans="1:12" x14ac:dyDescent="0.2">
      <c r="A188" s="13"/>
      <c r="B188" s="129">
        <f t="shared" si="58"/>
        <v>0</v>
      </c>
      <c r="C188" s="129"/>
      <c r="D188" s="129"/>
      <c r="E188" s="129"/>
      <c r="F188" s="185"/>
      <c r="G188" s="162"/>
      <c r="H188" s="189"/>
      <c r="I188" s="169"/>
      <c r="J188" s="131"/>
      <c r="K188" s="9">
        <f t="shared" si="59"/>
        <v>0</v>
      </c>
      <c r="L188" s="52">
        <f t="shared" si="60"/>
        <v>0</v>
      </c>
    </row>
    <row r="189" spans="1:12" x14ac:dyDescent="0.2">
      <c r="A189" s="13"/>
      <c r="B189" s="129">
        <f t="shared" si="58"/>
        <v>0</v>
      </c>
      <c r="C189" s="129"/>
      <c r="D189" s="129"/>
      <c r="E189" s="129"/>
      <c r="F189" s="185"/>
      <c r="G189" s="162"/>
      <c r="H189" s="189"/>
      <c r="I189" s="169"/>
      <c r="J189" s="131"/>
      <c r="K189" s="9">
        <f t="shared" si="59"/>
        <v>0</v>
      </c>
      <c r="L189" s="52">
        <f t="shared" si="60"/>
        <v>0</v>
      </c>
    </row>
    <row r="190" spans="1:12" x14ac:dyDescent="0.2">
      <c r="A190" s="13"/>
      <c r="B190" s="129">
        <f t="shared" si="58"/>
        <v>0</v>
      </c>
      <c r="C190" s="129"/>
      <c r="D190" s="129"/>
      <c r="E190" s="129"/>
      <c r="F190" s="185"/>
      <c r="G190" s="162"/>
      <c r="H190" s="189"/>
      <c r="I190" s="169"/>
      <c r="J190" s="131"/>
      <c r="K190" s="9">
        <f t="shared" si="59"/>
        <v>0</v>
      </c>
      <c r="L190" s="52">
        <f t="shared" si="60"/>
        <v>0</v>
      </c>
    </row>
    <row r="191" spans="1:12" x14ac:dyDescent="0.2">
      <c r="A191" s="13"/>
      <c r="B191" s="129">
        <f t="shared" si="58"/>
        <v>0</v>
      </c>
      <c r="C191" s="129"/>
      <c r="D191" s="129"/>
      <c r="E191" s="129"/>
      <c r="F191" s="185"/>
      <c r="G191" s="162"/>
      <c r="H191" s="189"/>
      <c r="I191" s="169"/>
      <c r="J191" s="131"/>
      <c r="K191" s="9">
        <f t="shared" si="59"/>
        <v>0</v>
      </c>
      <c r="L191" s="52">
        <f t="shared" si="60"/>
        <v>0</v>
      </c>
    </row>
    <row r="192" spans="1:12" x14ac:dyDescent="0.2">
      <c r="A192" s="13"/>
      <c r="B192" s="129">
        <f t="shared" si="58"/>
        <v>0</v>
      </c>
      <c r="C192" s="129"/>
      <c r="D192" s="129"/>
      <c r="E192" s="129"/>
      <c r="F192" s="185"/>
      <c r="G192" s="162"/>
      <c r="H192" s="189"/>
      <c r="I192" s="169"/>
      <c r="J192" s="131"/>
      <c r="K192" s="9">
        <f t="shared" si="59"/>
        <v>0</v>
      </c>
      <c r="L192" s="52">
        <f t="shared" si="60"/>
        <v>0</v>
      </c>
    </row>
    <row r="193" spans="1:12" x14ac:dyDescent="0.2">
      <c r="A193" s="13"/>
      <c r="B193" s="129">
        <f t="shared" si="58"/>
        <v>0</v>
      </c>
      <c r="C193" s="129"/>
      <c r="D193" s="129"/>
      <c r="E193" s="129"/>
      <c r="F193" s="185"/>
      <c r="G193" s="162"/>
      <c r="H193" s="189"/>
      <c r="I193" s="169"/>
      <c r="J193" s="131"/>
      <c r="K193" s="9">
        <f t="shared" si="59"/>
        <v>0</v>
      </c>
      <c r="L193" s="52">
        <f t="shared" si="60"/>
        <v>0</v>
      </c>
    </row>
    <row r="194" spans="1:12" x14ac:dyDescent="0.2">
      <c r="A194" s="13"/>
      <c r="B194" s="129">
        <f t="shared" si="58"/>
        <v>0</v>
      </c>
      <c r="C194" s="129"/>
      <c r="D194" s="129"/>
      <c r="E194" s="129"/>
      <c r="F194" s="185"/>
      <c r="G194" s="162"/>
      <c r="H194" s="189"/>
      <c r="I194" s="169"/>
      <c r="J194" s="131"/>
      <c r="K194" s="9">
        <f t="shared" si="59"/>
        <v>0</v>
      </c>
      <c r="L194" s="52">
        <f t="shared" si="60"/>
        <v>0</v>
      </c>
    </row>
    <row r="195" spans="1:12" x14ac:dyDescent="0.2">
      <c r="A195" s="13"/>
      <c r="B195" s="129">
        <f t="shared" si="58"/>
        <v>0</v>
      </c>
      <c r="C195" s="129"/>
      <c r="D195" s="129"/>
      <c r="E195" s="129"/>
      <c r="F195" s="185"/>
      <c r="G195" s="162"/>
      <c r="H195" s="189"/>
      <c r="I195" s="169"/>
      <c r="J195" s="131"/>
      <c r="K195" s="9">
        <f t="shared" si="59"/>
        <v>0</v>
      </c>
      <c r="L195" s="52">
        <f t="shared" si="60"/>
        <v>0</v>
      </c>
    </row>
    <row r="196" spans="1:12" x14ac:dyDescent="0.2">
      <c r="A196" s="13"/>
      <c r="B196" s="129">
        <f t="shared" si="58"/>
        <v>0</v>
      </c>
      <c r="C196" s="129"/>
      <c r="D196" s="129"/>
      <c r="E196" s="129"/>
      <c r="F196" s="185"/>
      <c r="G196" s="162"/>
      <c r="H196" s="189"/>
      <c r="I196" s="169"/>
      <c r="J196" s="131"/>
      <c r="K196" s="9">
        <f t="shared" si="59"/>
        <v>0</v>
      </c>
      <c r="L196" s="52">
        <f t="shared" si="60"/>
        <v>0</v>
      </c>
    </row>
    <row r="197" spans="1:12" x14ac:dyDescent="0.2">
      <c r="A197" s="13"/>
      <c r="B197" s="129">
        <f t="shared" si="58"/>
        <v>0</v>
      </c>
      <c r="C197" s="129"/>
      <c r="D197" s="129"/>
      <c r="E197" s="129"/>
      <c r="F197" s="185"/>
      <c r="G197" s="162"/>
      <c r="H197" s="189"/>
      <c r="I197" s="169"/>
      <c r="J197" s="131"/>
      <c r="K197" s="9">
        <f t="shared" si="59"/>
        <v>0</v>
      </c>
      <c r="L197" s="52">
        <f t="shared" si="60"/>
        <v>0</v>
      </c>
    </row>
    <row r="198" spans="1:12" x14ac:dyDescent="0.2">
      <c r="A198" s="13"/>
      <c r="B198" s="129">
        <f t="shared" si="58"/>
        <v>0</v>
      </c>
      <c r="C198" s="129"/>
      <c r="D198" s="129"/>
      <c r="E198" s="129"/>
      <c r="F198" s="185"/>
      <c r="G198" s="162"/>
      <c r="H198" s="189"/>
      <c r="I198" s="169"/>
      <c r="J198" s="131"/>
      <c r="K198" s="9">
        <f t="shared" si="59"/>
        <v>0</v>
      </c>
      <c r="L198" s="52">
        <f t="shared" si="60"/>
        <v>0</v>
      </c>
    </row>
    <row r="199" spans="1:12" x14ac:dyDescent="0.2">
      <c r="A199" s="13"/>
      <c r="B199" s="129">
        <f t="shared" si="58"/>
        <v>0</v>
      </c>
      <c r="C199" s="129"/>
      <c r="D199" s="129"/>
      <c r="E199" s="129"/>
      <c r="F199" s="185"/>
      <c r="G199" s="162"/>
      <c r="H199" s="189"/>
      <c r="I199" s="169"/>
      <c r="J199" s="131"/>
      <c r="K199" s="9">
        <f t="shared" si="59"/>
        <v>0</v>
      </c>
      <c r="L199" s="52">
        <f t="shared" si="60"/>
        <v>0</v>
      </c>
    </row>
    <row r="200" spans="1:12" x14ac:dyDescent="0.2">
      <c r="A200" s="13"/>
      <c r="B200" s="129">
        <f t="shared" si="58"/>
        <v>0</v>
      </c>
      <c r="C200" s="129"/>
      <c r="D200" s="129"/>
      <c r="E200" s="129"/>
      <c r="F200" s="185"/>
      <c r="G200" s="162"/>
      <c r="H200" s="189"/>
      <c r="I200" s="169"/>
      <c r="J200" s="131"/>
      <c r="K200" s="9">
        <f t="shared" si="59"/>
        <v>0</v>
      </c>
      <c r="L200" s="52">
        <f t="shared" si="60"/>
        <v>0</v>
      </c>
    </row>
    <row r="201" spans="1:12" x14ac:dyDescent="0.2">
      <c r="A201" s="13"/>
      <c r="B201" s="129">
        <f t="shared" ref="B201:B264" si="61">+J201-G201</f>
        <v>0</v>
      </c>
      <c r="C201" s="129"/>
      <c r="D201" s="129"/>
      <c r="E201" s="129"/>
      <c r="F201" s="185"/>
      <c r="G201" s="162"/>
      <c r="H201" s="189"/>
      <c r="I201" s="169"/>
      <c r="J201" s="131"/>
      <c r="K201" s="9">
        <f t="shared" si="59"/>
        <v>0</v>
      </c>
      <c r="L201" s="52">
        <f t="shared" si="60"/>
        <v>0</v>
      </c>
    </row>
    <row r="202" spans="1:12" x14ac:dyDescent="0.2">
      <c r="A202" s="13"/>
      <c r="B202" s="129">
        <f t="shared" si="61"/>
        <v>0</v>
      </c>
      <c r="C202" s="129"/>
      <c r="D202" s="129"/>
      <c r="E202" s="129"/>
      <c r="F202" s="185"/>
      <c r="G202" s="162"/>
      <c r="H202" s="189"/>
      <c r="I202" s="169"/>
      <c r="J202" s="131"/>
      <c r="K202" s="9">
        <f t="shared" ref="K202:K265" si="62">J202+K201</f>
        <v>0</v>
      </c>
      <c r="L202" s="52">
        <f t="shared" ref="L202:L265" si="63">+K202+$AX$58+$AU$10+$AU$11+$AU$12</f>
        <v>0</v>
      </c>
    </row>
    <row r="203" spans="1:12" x14ac:dyDescent="0.2">
      <c r="A203" s="13"/>
      <c r="B203" s="129">
        <f t="shared" si="61"/>
        <v>0</v>
      </c>
      <c r="C203" s="129"/>
      <c r="D203" s="129"/>
      <c r="E203" s="129"/>
      <c r="F203" s="185"/>
      <c r="G203" s="162"/>
      <c r="H203" s="189"/>
      <c r="I203" s="169"/>
      <c r="J203" s="131"/>
      <c r="K203" s="9">
        <f t="shared" si="62"/>
        <v>0</v>
      </c>
      <c r="L203" s="52">
        <f t="shared" si="63"/>
        <v>0</v>
      </c>
    </row>
    <row r="204" spans="1:12" x14ac:dyDescent="0.2">
      <c r="A204" s="13"/>
      <c r="B204" s="129">
        <f t="shared" si="61"/>
        <v>0</v>
      </c>
      <c r="C204" s="129"/>
      <c r="D204" s="129"/>
      <c r="E204" s="129"/>
      <c r="F204" s="185"/>
      <c r="G204" s="162"/>
      <c r="H204" s="189"/>
      <c r="I204" s="169"/>
      <c r="J204" s="131"/>
      <c r="K204" s="9">
        <f t="shared" si="62"/>
        <v>0</v>
      </c>
      <c r="L204" s="52">
        <f t="shared" si="63"/>
        <v>0</v>
      </c>
    </row>
    <row r="205" spans="1:12" x14ac:dyDescent="0.2">
      <c r="A205" s="13"/>
      <c r="B205" s="129">
        <f t="shared" si="61"/>
        <v>0</v>
      </c>
      <c r="C205" s="129"/>
      <c r="D205" s="129"/>
      <c r="E205" s="129"/>
      <c r="F205" s="185"/>
      <c r="G205" s="162"/>
      <c r="H205" s="189"/>
      <c r="I205" s="169"/>
      <c r="J205" s="131"/>
      <c r="K205" s="9">
        <f t="shared" si="62"/>
        <v>0</v>
      </c>
      <c r="L205" s="52">
        <f t="shared" si="63"/>
        <v>0</v>
      </c>
    </row>
    <row r="206" spans="1:12" x14ac:dyDescent="0.2">
      <c r="A206" s="13"/>
      <c r="B206" s="129">
        <f t="shared" si="61"/>
        <v>0</v>
      </c>
      <c r="C206" s="129"/>
      <c r="D206" s="129"/>
      <c r="E206" s="129"/>
      <c r="F206" s="185"/>
      <c r="G206" s="162"/>
      <c r="H206" s="189"/>
      <c r="I206" s="169"/>
      <c r="J206" s="131"/>
      <c r="K206" s="9">
        <f t="shared" si="62"/>
        <v>0</v>
      </c>
      <c r="L206" s="52">
        <f t="shared" si="63"/>
        <v>0</v>
      </c>
    </row>
    <row r="207" spans="1:12" x14ac:dyDescent="0.2">
      <c r="A207" s="13"/>
      <c r="B207" s="129">
        <f t="shared" si="61"/>
        <v>0</v>
      </c>
      <c r="C207" s="129"/>
      <c r="D207" s="129"/>
      <c r="E207" s="129"/>
      <c r="F207" s="185"/>
      <c r="G207" s="162"/>
      <c r="H207" s="189"/>
      <c r="I207" s="169"/>
      <c r="J207" s="131"/>
      <c r="K207" s="9">
        <f t="shared" si="62"/>
        <v>0</v>
      </c>
      <c r="L207" s="52">
        <f t="shared" si="63"/>
        <v>0</v>
      </c>
    </row>
    <row r="208" spans="1:12" x14ac:dyDescent="0.2">
      <c r="A208" s="13"/>
      <c r="B208" s="129">
        <f t="shared" si="61"/>
        <v>0</v>
      </c>
      <c r="C208" s="129"/>
      <c r="D208" s="129"/>
      <c r="E208" s="129"/>
      <c r="F208" s="185"/>
      <c r="G208" s="162"/>
      <c r="H208" s="189"/>
      <c r="I208" s="169"/>
      <c r="J208" s="131"/>
      <c r="K208" s="9">
        <f t="shared" si="62"/>
        <v>0</v>
      </c>
      <c r="L208" s="52">
        <f t="shared" si="63"/>
        <v>0</v>
      </c>
    </row>
    <row r="209" spans="1:12" x14ac:dyDescent="0.2">
      <c r="A209" s="13"/>
      <c r="B209" s="129">
        <f t="shared" si="61"/>
        <v>0</v>
      </c>
      <c r="C209" s="129"/>
      <c r="D209" s="129"/>
      <c r="E209" s="129"/>
      <c r="F209" s="185"/>
      <c r="G209" s="162"/>
      <c r="H209" s="189"/>
      <c r="I209" s="169"/>
      <c r="J209" s="131"/>
      <c r="K209" s="9">
        <f t="shared" si="62"/>
        <v>0</v>
      </c>
      <c r="L209" s="52">
        <f t="shared" si="63"/>
        <v>0</v>
      </c>
    </row>
    <row r="210" spans="1:12" x14ac:dyDescent="0.2">
      <c r="A210" s="13"/>
      <c r="B210" s="129">
        <f t="shared" si="61"/>
        <v>0</v>
      </c>
      <c r="C210" s="129"/>
      <c r="D210" s="129"/>
      <c r="E210" s="129"/>
      <c r="F210" s="185"/>
      <c r="G210" s="162"/>
      <c r="H210" s="189"/>
      <c r="I210" s="169"/>
      <c r="J210" s="131"/>
      <c r="K210" s="9">
        <f t="shared" si="62"/>
        <v>0</v>
      </c>
      <c r="L210" s="52">
        <f t="shared" si="63"/>
        <v>0</v>
      </c>
    </row>
    <row r="211" spans="1:12" x14ac:dyDescent="0.2">
      <c r="A211" s="13"/>
      <c r="B211" s="129">
        <f t="shared" si="61"/>
        <v>0</v>
      </c>
      <c r="C211" s="129"/>
      <c r="D211" s="129"/>
      <c r="E211" s="129"/>
      <c r="F211" s="185"/>
      <c r="G211" s="162"/>
      <c r="H211" s="189"/>
      <c r="I211" s="169"/>
      <c r="J211" s="131"/>
      <c r="K211" s="9">
        <f t="shared" si="62"/>
        <v>0</v>
      </c>
      <c r="L211" s="52">
        <f t="shared" si="63"/>
        <v>0</v>
      </c>
    </row>
    <row r="212" spans="1:12" x14ac:dyDescent="0.2">
      <c r="A212" s="13"/>
      <c r="B212" s="129">
        <f t="shared" si="61"/>
        <v>0</v>
      </c>
      <c r="C212" s="129"/>
      <c r="D212" s="129"/>
      <c r="E212" s="129"/>
      <c r="F212" s="185"/>
      <c r="G212" s="162"/>
      <c r="H212" s="189"/>
      <c r="I212" s="169"/>
      <c r="J212" s="131"/>
      <c r="K212" s="9">
        <f t="shared" si="62"/>
        <v>0</v>
      </c>
      <c r="L212" s="52">
        <f t="shared" si="63"/>
        <v>0</v>
      </c>
    </row>
    <row r="213" spans="1:12" x14ac:dyDescent="0.2">
      <c r="A213" s="13"/>
      <c r="B213" s="129">
        <f t="shared" si="61"/>
        <v>0</v>
      </c>
      <c r="C213" s="129"/>
      <c r="D213" s="129"/>
      <c r="E213" s="129"/>
      <c r="F213" s="185"/>
      <c r="G213" s="162"/>
      <c r="H213" s="189"/>
      <c r="I213" s="169"/>
      <c r="J213" s="131"/>
      <c r="K213" s="9">
        <f t="shared" si="62"/>
        <v>0</v>
      </c>
      <c r="L213" s="52">
        <f t="shared" si="63"/>
        <v>0</v>
      </c>
    </row>
    <row r="214" spans="1:12" x14ac:dyDescent="0.2">
      <c r="A214" s="13"/>
      <c r="B214" s="129">
        <f t="shared" si="61"/>
        <v>0</v>
      </c>
      <c r="C214" s="129"/>
      <c r="D214" s="129"/>
      <c r="E214" s="129"/>
      <c r="F214" s="185"/>
      <c r="G214" s="162"/>
      <c r="H214" s="189"/>
      <c r="I214" s="169"/>
      <c r="J214" s="131"/>
      <c r="K214" s="9">
        <f t="shared" si="62"/>
        <v>0</v>
      </c>
      <c r="L214" s="52">
        <f t="shared" si="63"/>
        <v>0</v>
      </c>
    </row>
    <row r="215" spans="1:12" x14ac:dyDescent="0.2">
      <c r="A215" s="13"/>
      <c r="B215" s="129">
        <f t="shared" si="61"/>
        <v>0</v>
      </c>
      <c r="C215" s="129"/>
      <c r="D215" s="129"/>
      <c r="E215" s="129"/>
      <c r="F215" s="185"/>
      <c r="G215" s="162"/>
      <c r="H215" s="189"/>
      <c r="I215" s="169"/>
      <c r="J215" s="131"/>
      <c r="K215" s="9">
        <f t="shared" si="62"/>
        <v>0</v>
      </c>
      <c r="L215" s="52">
        <f t="shared" si="63"/>
        <v>0</v>
      </c>
    </row>
    <row r="216" spans="1:12" x14ac:dyDescent="0.2">
      <c r="A216" s="13"/>
      <c r="B216" s="129">
        <f t="shared" si="61"/>
        <v>0</v>
      </c>
      <c r="C216" s="129"/>
      <c r="D216" s="129"/>
      <c r="E216" s="129"/>
      <c r="F216" s="185"/>
      <c r="G216" s="162"/>
      <c r="H216" s="189"/>
      <c r="I216" s="169"/>
      <c r="J216" s="131"/>
      <c r="K216" s="9">
        <f t="shared" si="62"/>
        <v>0</v>
      </c>
      <c r="L216" s="52">
        <f t="shared" si="63"/>
        <v>0</v>
      </c>
    </row>
    <row r="217" spans="1:12" x14ac:dyDescent="0.2">
      <c r="A217" s="13"/>
      <c r="B217" s="129">
        <f t="shared" si="61"/>
        <v>0</v>
      </c>
      <c r="C217" s="129"/>
      <c r="D217" s="129"/>
      <c r="E217" s="129"/>
      <c r="F217" s="185"/>
      <c r="G217" s="162"/>
      <c r="H217" s="189"/>
      <c r="I217" s="169"/>
      <c r="J217" s="131"/>
      <c r="K217" s="9">
        <f t="shared" si="62"/>
        <v>0</v>
      </c>
      <c r="L217" s="52">
        <f t="shared" si="63"/>
        <v>0</v>
      </c>
    </row>
    <row r="218" spans="1:12" x14ac:dyDescent="0.2">
      <c r="A218" s="13"/>
      <c r="B218" s="129">
        <f t="shared" si="61"/>
        <v>0</v>
      </c>
      <c r="C218" s="129"/>
      <c r="D218" s="129"/>
      <c r="E218" s="129"/>
      <c r="F218" s="185"/>
      <c r="G218" s="162"/>
      <c r="H218" s="189"/>
      <c r="I218" s="169"/>
      <c r="J218" s="131"/>
      <c r="K218" s="9">
        <f t="shared" si="62"/>
        <v>0</v>
      </c>
      <c r="L218" s="52">
        <f t="shared" si="63"/>
        <v>0</v>
      </c>
    </row>
    <row r="219" spans="1:12" x14ac:dyDescent="0.2">
      <c r="A219" s="13"/>
      <c r="B219" s="129">
        <f t="shared" si="61"/>
        <v>0</v>
      </c>
      <c r="C219" s="129"/>
      <c r="D219" s="129"/>
      <c r="E219" s="129"/>
      <c r="F219" s="185"/>
      <c r="G219" s="162"/>
      <c r="H219" s="189"/>
      <c r="I219" s="169"/>
      <c r="J219" s="131"/>
      <c r="K219" s="9">
        <f t="shared" si="62"/>
        <v>0</v>
      </c>
      <c r="L219" s="52">
        <f t="shared" si="63"/>
        <v>0</v>
      </c>
    </row>
    <row r="220" spans="1:12" x14ac:dyDescent="0.2">
      <c r="A220" s="13"/>
      <c r="B220" s="129">
        <f t="shared" si="61"/>
        <v>0</v>
      </c>
      <c r="C220" s="129"/>
      <c r="D220" s="129"/>
      <c r="E220" s="129"/>
      <c r="F220" s="187"/>
      <c r="G220" s="162"/>
      <c r="H220" s="189"/>
      <c r="I220" s="169"/>
      <c r="J220" s="131"/>
      <c r="K220" s="9">
        <f t="shared" si="62"/>
        <v>0</v>
      </c>
      <c r="L220" s="52">
        <f t="shared" si="63"/>
        <v>0</v>
      </c>
    </row>
    <row r="221" spans="1:12" x14ac:dyDescent="0.2">
      <c r="A221" s="13"/>
      <c r="B221" s="129">
        <f t="shared" si="61"/>
        <v>0</v>
      </c>
      <c r="C221" s="129"/>
      <c r="D221" s="129"/>
      <c r="E221" s="129"/>
      <c r="F221" s="185"/>
      <c r="G221" s="162"/>
      <c r="H221" s="189"/>
      <c r="I221" s="169"/>
      <c r="J221" s="131"/>
      <c r="K221" s="9">
        <f t="shared" si="62"/>
        <v>0</v>
      </c>
      <c r="L221" s="52">
        <f t="shared" si="63"/>
        <v>0</v>
      </c>
    </row>
    <row r="222" spans="1:12" x14ac:dyDescent="0.2">
      <c r="A222" s="13"/>
      <c r="B222" s="129">
        <f t="shared" si="61"/>
        <v>0</v>
      </c>
      <c r="C222" s="129"/>
      <c r="D222" s="129"/>
      <c r="E222" s="129"/>
      <c r="F222" s="185"/>
      <c r="G222" s="162"/>
      <c r="H222" s="189"/>
      <c r="I222" s="169"/>
      <c r="J222" s="131"/>
      <c r="K222" s="9">
        <f t="shared" si="62"/>
        <v>0</v>
      </c>
      <c r="L222" s="52">
        <f t="shared" si="63"/>
        <v>0</v>
      </c>
    </row>
    <row r="223" spans="1:12" x14ac:dyDescent="0.2">
      <c r="A223" s="13"/>
      <c r="B223" s="129">
        <f t="shared" si="61"/>
        <v>0</v>
      </c>
      <c r="C223" s="129"/>
      <c r="D223" s="129"/>
      <c r="E223" s="129"/>
      <c r="F223" s="185"/>
      <c r="G223" s="162"/>
      <c r="H223" s="189"/>
      <c r="I223" s="169"/>
      <c r="J223" s="131"/>
      <c r="K223" s="9">
        <f t="shared" si="62"/>
        <v>0</v>
      </c>
      <c r="L223" s="52">
        <f t="shared" si="63"/>
        <v>0</v>
      </c>
    </row>
    <row r="224" spans="1:12" x14ac:dyDescent="0.2">
      <c r="A224" s="13"/>
      <c r="B224" s="129">
        <f t="shared" si="61"/>
        <v>0</v>
      </c>
      <c r="C224" s="129"/>
      <c r="D224" s="129"/>
      <c r="E224" s="129"/>
      <c r="F224" s="185"/>
      <c r="G224" s="162"/>
      <c r="H224" s="189"/>
      <c r="I224" s="169"/>
      <c r="J224" s="131"/>
      <c r="K224" s="9">
        <f t="shared" si="62"/>
        <v>0</v>
      </c>
      <c r="L224" s="52">
        <f t="shared" si="63"/>
        <v>0</v>
      </c>
    </row>
    <row r="225" spans="1:14" x14ac:dyDescent="0.2">
      <c r="A225" s="13"/>
      <c r="B225" s="129">
        <f t="shared" si="61"/>
        <v>0</v>
      </c>
      <c r="C225" s="129"/>
      <c r="D225" s="129"/>
      <c r="E225" s="129"/>
      <c r="F225" s="185"/>
      <c r="G225" s="162"/>
      <c r="H225" s="189"/>
      <c r="I225" s="169"/>
      <c r="J225" s="131"/>
      <c r="K225" s="9">
        <f t="shared" si="62"/>
        <v>0</v>
      </c>
      <c r="L225" s="52">
        <f t="shared" si="63"/>
        <v>0</v>
      </c>
    </row>
    <row r="226" spans="1:14" x14ac:dyDescent="0.2">
      <c r="A226" s="13"/>
      <c r="B226" s="129">
        <f t="shared" si="61"/>
        <v>0</v>
      </c>
      <c r="C226" s="129"/>
      <c r="D226" s="129"/>
      <c r="E226" s="129"/>
      <c r="F226" s="185"/>
      <c r="G226" s="162"/>
      <c r="H226" s="189"/>
      <c r="I226" s="169"/>
      <c r="J226" s="131"/>
      <c r="K226" s="9">
        <f t="shared" si="62"/>
        <v>0</v>
      </c>
      <c r="L226" s="52">
        <f t="shared" si="63"/>
        <v>0</v>
      </c>
    </row>
    <row r="227" spans="1:14" x14ac:dyDescent="0.2">
      <c r="A227" s="13"/>
      <c r="B227" s="129">
        <f t="shared" si="61"/>
        <v>0</v>
      </c>
      <c r="C227" s="129"/>
      <c r="D227" s="129"/>
      <c r="E227" s="129"/>
      <c r="F227" s="185"/>
      <c r="G227" s="162"/>
      <c r="H227" s="189"/>
      <c r="I227" s="169"/>
      <c r="J227" s="131"/>
      <c r="K227" s="9">
        <f t="shared" si="62"/>
        <v>0</v>
      </c>
      <c r="L227" s="52">
        <f t="shared" si="63"/>
        <v>0</v>
      </c>
    </row>
    <row r="228" spans="1:14" x14ac:dyDescent="0.2">
      <c r="A228" s="13"/>
      <c r="B228" s="129">
        <f t="shared" si="61"/>
        <v>0</v>
      </c>
      <c r="C228" s="129"/>
      <c r="D228" s="129"/>
      <c r="E228" s="129"/>
      <c r="F228" s="185"/>
      <c r="G228" s="162"/>
      <c r="H228" s="189"/>
      <c r="I228" s="169"/>
      <c r="J228" s="131"/>
      <c r="K228" s="9">
        <f t="shared" si="62"/>
        <v>0</v>
      </c>
      <c r="L228" s="52">
        <f t="shared" si="63"/>
        <v>0</v>
      </c>
    </row>
    <row r="229" spans="1:14" x14ac:dyDescent="0.2">
      <c r="A229" s="13"/>
      <c r="B229" s="129">
        <f t="shared" si="61"/>
        <v>0</v>
      </c>
      <c r="C229" s="129"/>
      <c r="D229" s="129"/>
      <c r="E229" s="129"/>
      <c r="F229" s="185"/>
      <c r="G229" s="162"/>
      <c r="H229" s="189"/>
      <c r="I229" s="169"/>
      <c r="J229" s="131"/>
      <c r="K229" s="9">
        <f t="shared" si="62"/>
        <v>0</v>
      </c>
      <c r="L229" s="52">
        <f t="shared" si="63"/>
        <v>0</v>
      </c>
    </row>
    <row r="230" spans="1:14" x14ac:dyDescent="0.2">
      <c r="A230" s="13"/>
      <c r="B230" s="129">
        <f t="shared" si="61"/>
        <v>0</v>
      </c>
      <c r="C230" s="129"/>
      <c r="D230" s="129"/>
      <c r="E230" s="129"/>
      <c r="F230" s="185"/>
      <c r="G230" s="162"/>
      <c r="H230" s="189"/>
      <c r="I230" s="169"/>
      <c r="J230" s="131"/>
      <c r="K230" s="9">
        <f t="shared" si="62"/>
        <v>0</v>
      </c>
      <c r="L230" s="52">
        <f t="shared" si="63"/>
        <v>0</v>
      </c>
    </row>
    <row r="231" spans="1:14" x14ac:dyDescent="0.2">
      <c r="A231" s="13"/>
      <c r="B231" s="129">
        <f t="shared" si="61"/>
        <v>0</v>
      </c>
      <c r="C231" s="129"/>
      <c r="D231" s="129"/>
      <c r="E231" s="129"/>
      <c r="F231" s="185"/>
      <c r="G231" s="162"/>
      <c r="H231" s="189"/>
      <c r="I231" s="169"/>
      <c r="J231" s="131"/>
      <c r="K231" s="9">
        <f t="shared" si="62"/>
        <v>0</v>
      </c>
      <c r="L231" s="52">
        <f t="shared" si="63"/>
        <v>0</v>
      </c>
    </row>
    <row r="232" spans="1:14" x14ac:dyDescent="0.2">
      <c r="A232" s="13"/>
      <c r="B232" s="129">
        <f t="shared" si="61"/>
        <v>0</v>
      </c>
      <c r="C232" s="129"/>
      <c r="D232" s="129"/>
      <c r="E232" s="129"/>
      <c r="F232" s="185"/>
      <c r="G232" s="162"/>
      <c r="H232" s="189"/>
      <c r="I232" s="169"/>
      <c r="J232" s="131"/>
      <c r="K232" s="9">
        <f t="shared" si="62"/>
        <v>0</v>
      </c>
      <c r="L232" s="52">
        <f t="shared" si="63"/>
        <v>0</v>
      </c>
    </row>
    <row r="233" spans="1:14" x14ac:dyDescent="0.2">
      <c r="A233" s="13"/>
      <c r="B233" s="129">
        <f t="shared" si="61"/>
        <v>0</v>
      </c>
      <c r="C233" s="129"/>
      <c r="D233" s="129"/>
      <c r="E233" s="129"/>
      <c r="F233" s="185"/>
      <c r="G233" s="162"/>
      <c r="H233" s="189"/>
      <c r="I233" s="169"/>
      <c r="J233" s="131"/>
      <c r="K233" s="9">
        <f t="shared" si="62"/>
        <v>0</v>
      </c>
      <c r="L233" s="52">
        <f t="shared" si="63"/>
        <v>0</v>
      </c>
    </row>
    <row r="234" spans="1:14" x14ac:dyDescent="0.2">
      <c r="A234" s="13"/>
      <c r="B234" s="129">
        <f t="shared" si="61"/>
        <v>0</v>
      </c>
      <c r="C234" s="129"/>
      <c r="D234" s="129"/>
      <c r="E234" s="129"/>
      <c r="F234" s="185"/>
      <c r="G234" s="162"/>
      <c r="H234" s="189"/>
      <c r="I234" s="169"/>
      <c r="J234" s="131"/>
      <c r="K234" s="9">
        <f t="shared" si="62"/>
        <v>0</v>
      </c>
      <c r="L234" s="52">
        <f t="shared" si="63"/>
        <v>0</v>
      </c>
    </row>
    <row r="235" spans="1:14" x14ac:dyDescent="0.2">
      <c r="A235" s="13"/>
      <c r="B235" s="129">
        <f t="shared" si="61"/>
        <v>0</v>
      </c>
      <c r="C235" s="129"/>
      <c r="D235" s="129"/>
      <c r="E235" s="129"/>
      <c r="F235" s="185"/>
      <c r="G235" s="162"/>
      <c r="H235" s="189"/>
      <c r="I235" s="169"/>
      <c r="J235" s="131"/>
      <c r="K235" s="9">
        <f t="shared" si="62"/>
        <v>0</v>
      </c>
      <c r="L235" s="52">
        <f t="shared" si="63"/>
        <v>0</v>
      </c>
    </row>
    <row r="236" spans="1:14" x14ac:dyDescent="0.2">
      <c r="A236" s="13"/>
      <c r="B236" s="129">
        <f t="shared" si="61"/>
        <v>0</v>
      </c>
      <c r="C236" s="129"/>
      <c r="D236" s="129"/>
      <c r="E236" s="129"/>
      <c r="F236" s="185"/>
      <c r="G236" s="162"/>
      <c r="H236" s="189"/>
      <c r="I236" s="169"/>
      <c r="J236" s="131"/>
      <c r="K236" s="9">
        <f t="shared" si="62"/>
        <v>0</v>
      </c>
      <c r="L236" s="52">
        <f t="shared" si="63"/>
        <v>0</v>
      </c>
      <c r="M236" s="89"/>
      <c r="N236" s="89"/>
    </row>
    <row r="237" spans="1:14" x14ac:dyDescent="0.2">
      <c r="A237" s="13"/>
      <c r="B237" s="129">
        <f t="shared" si="61"/>
        <v>0</v>
      </c>
      <c r="C237" s="129"/>
      <c r="D237" s="129"/>
      <c r="E237" s="129"/>
      <c r="F237" s="185"/>
      <c r="G237" s="162"/>
      <c r="H237" s="189"/>
      <c r="I237" s="169"/>
      <c r="J237" s="131"/>
      <c r="K237" s="9">
        <f t="shared" si="62"/>
        <v>0</v>
      </c>
      <c r="L237" s="52">
        <f t="shared" si="63"/>
        <v>0</v>
      </c>
    </row>
    <row r="238" spans="1:14" x14ac:dyDescent="0.2">
      <c r="A238" s="13"/>
      <c r="B238" s="129">
        <f t="shared" si="61"/>
        <v>0</v>
      </c>
      <c r="C238" s="129"/>
      <c r="D238" s="129"/>
      <c r="E238" s="129"/>
      <c r="F238" s="185"/>
      <c r="G238" s="162"/>
      <c r="H238" s="189"/>
      <c r="I238" s="169"/>
      <c r="J238" s="131"/>
      <c r="K238" s="9">
        <f t="shared" si="62"/>
        <v>0</v>
      </c>
      <c r="L238" s="52">
        <f t="shared" si="63"/>
        <v>0</v>
      </c>
    </row>
    <row r="239" spans="1:14" x14ac:dyDescent="0.2">
      <c r="A239" s="13"/>
      <c r="B239" s="129">
        <f t="shared" si="61"/>
        <v>0</v>
      </c>
      <c r="C239" s="129"/>
      <c r="D239" s="129"/>
      <c r="E239" s="129"/>
      <c r="F239" s="185"/>
      <c r="G239" s="162"/>
      <c r="H239" s="189"/>
      <c r="I239" s="169"/>
      <c r="J239" s="131"/>
      <c r="K239" s="9">
        <f t="shared" si="62"/>
        <v>0</v>
      </c>
      <c r="L239" s="52">
        <f t="shared" si="63"/>
        <v>0</v>
      </c>
    </row>
    <row r="240" spans="1:14" x14ac:dyDescent="0.2">
      <c r="A240" s="13"/>
      <c r="B240" s="129">
        <f t="shared" si="61"/>
        <v>0</v>
      </c>
      <c r="C240" s="129"/>
      <c r="D240" s="129"/>
      <c r="E240" s="129"/>
      <c r="F240" s="185"/>
      <c r="G240" s="162"/>
      <c r="H240" s="189"/>
      <c r="I240" s="169"/>
      <c r="J240" s="131"/>
      <c r="K240" s="9">
        <f t="shared" si="62"/>
        <v>0</v>
      </c>
      <c r="L240" s="52">
        <f t="shared" si="63"/>
        <v>0</v>
      </c>
    </row>
    <row r="241" spans="1:12" x14ac:dyDescent="0.2">
      <c r="A241" s="13"/>
      <c r="B241" s="129">
        <f t="shared" si="61"/>
        <v>0</v>
      </c>
      <c r="C241" s="129"/>
      <c r="D241" s="129"/>
      <c r="E241" s="129"/>
      <c r="F241" s="185"/>
      <c r="G241" s="162"/>
      <c r="H241" s="189"/>
      <c r="I241" s="169"/>
      <c r="J241" s="131"/>
      <c r="K241" s="9">
        <f t="shared" si="62"/>
        <v>0</v>
      </c>
      <c r="L241" s="52">
        <f t="shared" si="63"/>
        <v>0</v>
      </c>
    </row>
    <row r="242" spans="1:12" x14ac:dyDescent="0.2">
      <c r="A242" s="13"/>
      <c r="B242" s="129">
        <f t="shared" si="61"/>
        <v>0</v>
      </c>
      <c r="C242" s="129"/>
      <c r="D242" s="129"/>
      <c r="E242" s="129"/>
      <c r="F242" s="185"/>
      <c r="G242" s="162"/>
      <c r="H242" s="189"/>
      <c r="I242" s="169"/>
      <c r="J242" s="131"/>
      <c r="K242" s="9">
        <f t="shared" si="62"/>
        <v>0</v>
      </c>
      <c r="L242" s="52">
        <f t="shared" si="63"/>
        <v>0</v>
      </c>
    </row>
    <row r="243" spans="1:12" x14ac:dyDescent="0.2">
      <c r="A243" s="13"/>
      <c r="B243" s="129">
        <f t="shared" si="61"/>
        <v>0</v>
      </c>
      <c r="C243" s="129"/>
      <c r="D243" s="129"/>
      <c r="E243" s="129"/>
      <c r="F243" s="185"/>
      <c r="G243" s="162"/>
      <c r="H243" s="189"/>
      <c r="I243" s="169"/>
      <c r="J243" s="131"/>
      <c r="K243" s="9">
        <f t="shared" si="62"/>
        <v>0</v>
      </c>
      <c r="L243" s="52">
        <f t="shared" si="63"/>
        <v>0</v>
      </c>
    </row>
    <row r="244" spans="1:12" x14ac:dyDescent="0.2">
      <c r="A244" s="13"/>
      <c r="B244" s="129">
        <f t="shared" si="61"/>
        <v>0</v>
      </c>
      <c r="C244" s="129"/>
      <c r="D244" s="129"/>
      <c r="E244" s="129"/>
      <c r="F244" s="185"/>
      <c r="G244" s="162"/>
      <c r="H244" s="189"/>
      <c r="I244" s="169"/>
      <c r="J244" s="131"/>
      <c r="K244" s="9">
        <f t="shared" si="62"/>
        <v>0</v>
      </c>
      <c r="L244" s="52">
        <f t="shared" si="63"/>
        <v>0</v>
      </c>
    </row>
    <row r="245" spans="1:12" x14ac:dyDescent="0.2">
      <c r="A245" s="13"/>
      <c r="B245" s="129">
        <f t="shared" si="61"/>
        <v>0</v>
      </c>
      <c r="C245" s="129"/>
      <c r="D245" s="129"/>
      <c r="E245" s="129"/>
      <c r="F245" s="185"/>
      <c r="G245" s="162"/>
      <c r="H245" s="189"/>
      <c r="I245" s="169"/>
      <c r="J245" s="131"/>
      <c r="K245" s="9">
        <f t="shared" si="62"/>
        <v>0</v>
      </c>
      <c r="L245" s="52">
        <f t="shared" si="63"/>
        <v>0</v>
      </c>
    </row>
    <row r="246" spans="1:12" x14ac:dyDescent="0.2">
      <c r="A246" s="13"/>
      <c r="B246" s="129">
        <f t="shared" si="61"/>
        <v>0</v>
      </c>
      <c r="C246" s="129"/>
      <c r="D246" s="129"/>
      <c r="E246" s="129"/>
      <c r="F246" s="185"/>
      <c r="G246" s="162"/>
      <c r="H246" s="189"/>
      <c r="I246" s="169"/>
      <c r="J246" s="131"/>
      <c r="K246" s="9">
        <f t="shared" si="62"/>
        <v>0</v>
      </c>
      <c r="L246" s="52">
        <f t="shared" si="63"/>
        <v>0</v>
      </c>
    </row>
    <row r="247" spans="1:12" x14ac:dyDescent="0.2">
      <c r="A247" s="13"/>
      <c r="B247" s="129">
        <f t="shared" si="61"/>
        <v>0</v>
      </c>
      <c r="C247" s="129"/>
      <c r="D247" s="129"/>
      <c r="E247" s="129"/>
      <c r="F247" s="185"/>
      <c r="G247" s="162"/>
      <c r="H247" s="189"/>
      <c r="I247" s="169"/>
      <c r="J247" s="131"/>
      <c r="K247" s="9">
        <f t="shared" si="62"/>
        <v>0</v>
      </c>
      <c r="L247" s="52">
        <f t="shared" si="63"/>
        <v>0</v>
      </c>
    </row>
    <row r="248" spans="1:12" x14ac:dyDescent="0.2">
      <c r="A248" s="13"/>
      <c r="B248" s="129">
        <f t="shared" si="61"/>
        <v>0</v>
      </c>
      <c r="C248" s="129"/>
      <c r="D248" s="129"/>
      <c r="E248" s="129"/>
      <c r="F248" s="185"/>
      <c r="G248" s="162"/>
      <c r="H248" s="189"/>
      <c r="I248" s="169"/>
      <c r="J248" s="131"/>
      <c r="K248" s="9">
        <f t="shared" si="62"/>
        <v>0</v>
      </c>
      <c r="L248" s="52">
        <f t="shared" si="63"/>
        <v>0</v>
      </c>
    </row>
    <row r="249" spans="1:12" x14ac:dyDescent="0.2">
      <c r="A249" s="13"/>
      <c r="B249" s="129">
        <f t="shared" si="61"/>
        <v>0</v>
      </c>
      <c r="C249" s="129"/>
      <c r="D249" s="129"/>
      <c r="E249" s="129"/>
      <c r="F249" s="185"/>
      <c r="G249" s="162"/>
      <c r="H249" s="189"/>
      <c r="I249" s="169"/>
      <c r="J249" s="131"/>
      <c r="K249" s="9">
        <f t="shared" si="62"/>
        <v>0</v>
      </c>
      <c r="L249" s="52">
        <f t="shared" si="63"/>
        <v>0</v>
      </c>
    </row>
    <row r="250" spans="1:12" x14ac:dyDescent="0.2">
      <c r="A250" s="13"/>
      <c r="B250" s="129">
        <f t="shared" si="61"/>
        <v>0</v>
      </c>
      <c r="C250" s="129"/>
      <c r="D250" s="129"/>
      <c r="E250" s="129"/>
      <c r="F250" s="185"/>
      <c r="G250" s="162"/>
      <c r="H250" s="189"/>
      <c r="I250" s="169"/>
      <c r="J250" s="131"/>
      <c r="K250" s="9">
        <f t="shared" si="62"/>
        <v>0</v>
      </c>
      <c r="L250" s="52">
        <f t="shared" si="63"/>
        <v>0</v>
      </c>
    </row>
    <row r="251" spans="1:12" x14ac:dyDescent="0.2">
      <c r="A251" s="13"/>
      <c r="B251" s="129">
        <f t="shared" si="61"/>
        <v>0</v>
      </c>
      <c r="C251" s="129"/>
      <c r="D251" s="129"/>
      <c r="E251" s="129"/>
      <c r="F251" s="185"/>
      <c r="G251" s="162"/>
      <c r="H251" s="189"/>
      <c r="I251" s="169"/>
      <c r="J251" s="131"/>
      <c r="K251" s="9">
        <f t="shared" si="62"/>
        <v>0</v>
      </c>
      <c r="L251" s="52">
        <f t="shared" si="63"/>
        <v>0</v>
      </c>
    </row>
    <row r="252" spans="1:12" x14ac:dyDescent="0.2">
      <c r="A252" s="13"/>
      <c r="B252" s="129">
        <f t="shared" si="61"/>
        <v>0</v>
      </c>
      <c r="C252" s="129"/>
      <c r="D252" s="129"/>
      <c r="E252" s="129"/>
      <c r="F252" s="185"/>
      <c r="G252" s="162"/>
      <c r="H252" s="189"/>
      <c r="I252" s="169"/>
      <c r="J252" s="131"/>
      <c r="K252" s="9">
        <f t="shared" si="62"/>
        <v>0</v>
      </c>
      <c r="L252" s="52">
        <f t="shared" si="63"/>
        <v>0</v>
      </c>
    </row>
    <row r="253" spans="1:12" x14ac:dyDescent="0.2">
      <c r="A253" s="13"/>
      <c r="B253" s="129">
        <f t="shared" si="61"/>
        <v>0</v>
      </c>
      <c r="C253" s="129"/>
      <c r="D253" s="129"/>
      <c r="E253" s="129"/>
      <c r="F253" s="185"/>
      <c r="G253" s="162"/>
      <c r="H253" s="189"/>
      <c r="I253" s="169"/>
      <c r="J253" s="131"/>
      <c r="K253" s="9">
        <f t="shared" si="62"/>
        <v>0</v>
      </c>
      <c r="L253" s="52">
        <f t="shared" si="63"/>
        <v>0</v>
      </c>
    </row>
    <row r="254" spans="1:12" x14ac:dyDescent="0.2">
      <c r="A254" s="13"/>
      <c r="B254" s="129">
        <f t="shared" si="61"/>
        <v>0</v>
      </c>
      <c r="C254" s="129"/>
      <c r="D254" s="129"/>
      <c r="E254" s="129"/>
      <c r="F254" s="185"/>
      <c r="G254" s="162"/>
      <c r="H254" s="189"/>
      <c r="I254" s="169"/>
      <c r="J254" s="131"/>
      <c r="K254" s="9">
        <f t="shared" si="62"/>
        <v>0</v>
      </c>
      <c r="L254" s="52">
        <f t="shared" si="63"/>
        <v>0</v>
      </c>
    </row>
    <row r="255" spans="1:12" x14ac:dyDescent="0.2">
      <c r="A255" s="13"/>
      <c r="B255" s="129">
        <f t="shared" si="61"/>
        <v>0</v>
      </c>
      <c r="C255" s="129"/>
      <c r="D255" s="129"/>
      <c r="E255" s="129"/>
      <c r="F255" s="185"/>
      <c r="G255" s="162"/>
      <c r="H255" s="189"/>
      <c r="I255" s="169"/>
      <c r="J255" s="131"/>
      <c r="K255" s="9">
        <f t="shared" si="62"/>
        <v>0</v>
      </c>
      <c r="L255" s="52">
        <f t="shared" si="63"/>
        <v>0</v>
      </c>
    </row>
    <row r="256" spans="1:12" x14ac:dyDescent="0.2">
      <c r="A256" s="13"/>
      <c r="B256" s="129">
        <f t="shared" si="61"/>
        <v>0</v>
      </c>
      <c r="C256" s="129"/>
      <c r="D256" s="129"/>
      <c r="E256" s="129"/>
      <c r="F256" s="185"/>
      <c r="G256" s="162"/>
      <c r="H256" s="189"/>
      <c r="I256" s="169"/>
      <c r="J256" s="131"/>
      <c r="K256" s="9">
        <f t="shared" si="62"/>
        <v>0</v>
      </c>
      <c r="L256" s="52">
        <f t="shared" si="63"/>
        <v>0</v>
      </c>
    </row>
    <row r="257" spans="1:23" x14ac:dyDescent="0.2">
      <c r="A257" s="13"/>
      <c r="B257" s="129">
        <f t="shared" si="61"/>
        <v>0</v>
      </c>
      <c r="C257" s="129"/>
      <c r="D257" s="129"/>
      <c r="E257" s="129"/>
      <c r="F257" s="185"/>
      <c r="G257" s="162"/>
      <c r="H257" s="189"/>
      <c r="I257" s="169"/>
      <c r="J257" s="131"/>
      <c r="K257" s="9">
        <f t="shared" si="62"/>
        <v>0</v>
      </c>
      <c r="L257" s="52">
        <f t="shared" si="63"/>
        <v>0</v>
      </c>
    </row>
    <row r="258" spans="1:23" x14ac:dyDescent="0.2">
      <c r="A258" s="13"/>
      <c r="B258" s="129">
        <f t="shared" si="61"/>
        <v>0</v>
      </c>
      <c r="C258" s="129"/>
      <c r="D258" s="129"/>
      <c r="E258" s="129"/>
      <c r="F258" s="185"/>
      <c r="G258" s="162"/>
      <c r="H258" s="189"/>
      <c r="I258" s="169"/>
      <c r="J258" s="131"/>
      <c r="K258" s="9">
        <f t="shared" si="62"/>
        <v>0</v>
      </c>
      <c r="L258" s="52">
        <f t="shared" si="63"/>
        <v>0</v>
      </c>
    </row>
    <row r="259" spans="1:23" x14ac:dyDescent="0.2">
      <c r="A259" s="13"/>
      <c r="B259" s="129">
        <f t="shared" si="61"/>
        <v>0</v>
      </c>
      <c r="C259" s="129"/>
      <c r="D259" s="129"/>
      <c r="E259" s="129"/>
      <c r="F259" s="185"/>
      <c r="G259" s="162"/>
      <c r="H259" s="189"/>
      <c r="I259" s="169"/>
      <c r="J259" s="131"/>
      <c r="K259" s="9">
        <f t="shared" si="62"/>
        <v>0</v>
      </c>
      <c r="L259" s="52">
        <f t="shared" si="63"/>
        <v>0</v>
      </c>
    </row>
    <row r="260" spans="1:23" x14ac:dyDescent="0.2">
      <c r="A260" s="13"/>
      <c r="B260" s="129">
        <f t="shared" si="61"/>
        <v>0</v>
      </c>
      <c r="C260" s="129"/>
      <c r="D260" s="129"/>
      <c r="E260" s="129"/>
      <c r="F260" s="185"/>
      <c r="G260" s="162"/>
      <c r="H260" s="189"/>
      <c r="I260" s="169"/>
      <c r="J260" s="131"/>
      <c r="K260" s="9">
        <f t="shared" si="62"/>
        <v>0</v>
      </c>
      <c r="L260" s="52">
        <f t="shared" si="63"/>
        <v>0</v>
      </c>
    </row>
    <row r="261" spans="1:23" x14ac:dyDescent="0.2">
      <c r="A261" s="13"/>
      <c r="B261" s="129">
        <f t="shared" si="61"/>
        <v>0</v>
      </c>
      <c r="C261" s="129"/>
      <c r="D261" s="129"/>
      <c r="E261" s="129"/>
      <c r="F261" s="185"/>
      <c r="G261" s="162"/>
      <c r="H261" s="189"/>
      <c r="I261" s="169"/>
      <c r="J261" s="131"/>
      <c r="K261" s="9">
        <f t="shared" si="62"/>
        <v>0</v>
      </c>
      <c r="L261" s="52">
        <f t="shared" si="63"/>
        <v>0</v>
      </c>
    </row>
    <row r="262" spans="1:23" x14ac:dyDescent="0.2">
      <c r="A262" s="13"/>
      <c r="B262" s="129">
        <f t="shared" si="61"/>
        <v>0</v>
      </c>
      <c r="C262" s="129"/>
      <c r="D262" s="129"/>
      <c r="E262" s="129"/>
      <c r="F262" s="185"/>
      <c r="G262" s="162"/>
      <c r="H262" s="189"/>
      <c r="I262" s="169"/>
      <c r="J262" s="131"/>
      <c r="K262" s="9">
        <f t="shared" si="62"/>
        <v>0</v>
      </c>
      <c r="L262" s="52">
        <f t="shared" si="63"/>
        <v>0</v>
      </c>
    </row>
    <row r="263" spans="1:23" x14ac:dyDescent="0.2">
      <c r="A263" s="13"/>
      <c r="B263" s="250">
        <f t="shared" si="61"/>
        <v>0</v>
      </c>
      <c r="C263" s="250"/>
      <c r="D263" s="250"/>
      <c r="E263" s="250"/>
      <c r="F263" s="251"/>
      <c r="G263" s="162"/>
      <c r="H263" s="189"/>
      <c r="I263" s="169"/>
      <c r="J263" s="131"/>
      <c r="K263" s="9">
        <f t="shared" si="62"/>
        <v>0</v>
      </c>
      <c r="L263" s="52">
        <f t="shared" si="63"/>
        <v>0</v>
      </c>
      <c r="P263" s="149"/>
    </row>
    <row r="264" spans="1:23" x14ac:dyDescent="0.2">
      <c r="A264" s="13"/>
      <c r="B264" s="250">
        <f t="shared" si="61"/>
        <v>0</v>
      </c>
      <c r="C264" s="250"/>
      <c r="D264" s="250"/>
      <c r="E264" s="250"/>
      <c r="F264" s="251"/>
      <c r="G264" s="162"/>
      <c r="H264" s="189"/>
      <c r="I264" s="169"/>
      <c r="J264" s="131"/>
      <c r="K264" s="9">
        <f t="shared" si="62"/>
        <v>0</v>
      </c>
      <c r="L264" s="52">
        <f t="shared" si="63"/>
        <v>0</v>
      </c>
      <c r="P264" s="149"/>
    </row>
    <row r="265" spans="1:23" x14ac:dyDescent="0.2">
      <c r="A265" s="13"/>
      <c r="B265" s="129">
        <f t="shared" ref="B265:B328" si="64">+J265-G265</f>
        <v>0</v>
      </c>
      <c r="C265" s="129"/>
      <c r="D265" s="129"/>
      <c r="E265" s="129"/>
      <c r="F265" s="185"/>
      <c r="G265" s="162"/>
      <c r="H265" s="189"/>
      <c r="I265" s="169"/>
      <c r="J265" s="131"/>
      <c r="K265" s="9">
        <f t="shared" si="62"/>
        <v>0</v>
      </c>
      <c r="L265" s="52">
        <f t="shared" si="63"/>
        <v>0</v>
      </c>
      <c r="P265" s="149"/>
    </row>
    <row r="266" spans="1:23" x14ac:dyDescent="0.2">
      <c r="A266" s="13"/>
      <c r="B266" s="129">
        <f t="shared" si="64"/>
        <v>0</v>
      </c>
      <c r="C266" s="129"/>
      <c r="D266" s="129"/>
      <c r="E266" s="129"/>
      <c r="F266" s="185"/>
      <c r="G266" s="162"/>
      <c r="H266" s="189"/>
      <c r="I266" s="169"/>
      <c r="J266" s="131"/>
      <c r="K266" s="9">
        <f t="shared" ref="K266:K329" si="65">J266+K265</f>
        <v>0</v>
      </c>
      <c r="L266" s="52">
        <f t="shared" ref="L266:L329" si="66">+K266+$AX$58+$AU$10+$AU$11+$AU$12</f>
        <v>0</v>
      </c>
      <c r="P266" s="149"/>
    </row>
    <row r="267" spans="1:23" x14ac:dyDescent="0.2">
      <c r="A267" s="13"/>
      <c r="B267" s="129">
        <f t="shared" si="64"/>
        <v>0</v>
      </c>
      <c r="C267" s="129"/>
      <c r="D267" s="129"/>
      <c r="E267" s="129"/>
      <c r="F267" s="185"/>
      <c r="G267" s="162"/>
      <c r="H267" s="189"/>
      <c r="I267" s="169"/>
      <c r="J267" s="131"/>
      <c r="K267" s="9">
        <f t="shared" si="65"/>
        <v>0</v>
      </c>
      <c r="L267" s="52">
        <f t="shared" si="66"/>
        <v>0</v>
      </c>
      <c r="P267" s="149"/>
    </row>
    <row r="268" spans="1:23" x14ac:dyDescent="0.2">
      <c r="A268" s="13"/>
      <c r="B268" s="129">
        <f t="shared" si="64"/>
        <v>0</v>
      </c>
      <c r="C268" s="129"/>
      <c r="D268" s="129"/>
      <c r="E268" s="129"/>
      <c r="F268" s="185"/>
      <c r="G268" s="162"/>
      <c r="H268" s="189"/>
      <c r="I268" s="169"/>
      <c r="J268" s="131"/>
      <c r="K268" s="9">
        <f t="shared" si="65"/>
        <v>0</v>
      </c>
      <c r="L268" s="52">
        <f t="shared" si="66"/>
        <v>0</v>
      </c>
      <c r="O268" s="116"/>
      <c r="P268" s="149"/>
    </row>
    <row r="269" spans="1:23" x14ac:dyDescent="0.2">
      <c r="A269" s="13"/>
      <c r="B269" s="129">
        <f t="shared" si="64"/>
        <v>0</v>
      </c>
      <c r="C269" s="129"/>
      <c r="D269" s="129"/>
      <c r="E269" s="129"/>
      <c r="F269" s="185"/>
      <c r="G269" s="162"/>
      <c r="H269" s="189"/>
      <c r="I269" s="169"/>
      <c r="J269" s="131"/>
      <c r="K269" s="9">
        <f t="shared" si="65"/>
        <v>0</v>
      </c>
      <c r="L269" s="52">
        <f t="shared" si="66"/>
        <v>0</v>
      </c>
      <c r="O269" s="116"/>
      <c r="P269" s="149"/>
      <c r="W269" s="118"/>
    </row>
    <row r="270" spans="1:23" x14ac:dyDescent="0.2">
      <c r="A270" s="13"/>
      <c r="B270" s="129">
        <f t="shared" si="64"/>
        <v>0</v>
      </c>
      <c r="C270" s="129"/>
      <c r="D270" s="129"/>
      <c r="E270" s="129"/>
      <c r="F270" s="185"/>
      <c r="G270" s="162"/>
      <c r="H270" s="189"/>
      <c r="I270" s="169"/>
      <c r="J270" s="131"/>
      <c r="K270" s="9">
        <f t="shared" si="65"/>
        <v>0</v>
      </c>
      <c r="L270" s="52">
        <f t="shared" si="66"/>
        <v>0</v>
      </c>
      <c r="O270" s="116"/>
      <c r="P270" s="149"/>
    </row>
    <row r="271" spans="1:23" x14ac:dyDescent="0.2">
      <c r="A271" s="13"/>
      <c r="B271" s="129">
        <f t="shared" si="64"/>
        <v>0</v>
      </c>
      <c r="C271" s="129"/>
      <c r="D271" s="129"/>
      <c r="E271" s="129"/>
      <c r="F271" s="185"/>
      <c r="G271" s="162"/>
      <c r="H271" s="189"/>
      <c r="I271" s="169"/>
      <c r="J271" s="131"/>
      <c r="K271" s="9">
        <f t="shared" si="65"/>
        <v>0</v>
      </c>
      <c r="L271" s="52">
        <f t="shared" si="66"/>
        <v>0</v>
      </c>
      <c r="O271" s="116"/>
      <c r="P271" s="149"/>
      <c r="U271" s="119"/>
      <c r="W271" s="118"/>
    </row>
    <row r="272" spans="1:23" x14ac:dyDescent="0.2">
      <c r="A272" s="13"/>
      <c r="B272" s="129">
        <f t="shared" si="64"/>
        <v>0</v>
      </c>
      <c r="C272" s="129"/>
      <c r="D272" s="129"/>
      <c r="E272" s="129"/>
      <c r="F272" s="185"/>
      <c r="G272" s="162"/>
      <c r="H272" s="189"/>
      <c r="I272" s="169"/>
      <c r="J272" s="131"/>
      <c r="K272" s="9">
        <f t="shared" si="65"/>
        <v>0</v>
      </c>
      <c r="L272" s="52">
        <f t="shared" si="66"/>
        <v>0</v>
      </c>
      <c r="O272" s="116"/>
      <c r="P272" s="149"/>
    </row>
    <row r="273" spans="1:21" x14ac:dyDescent="0.2">
      <c r="A273" s="13"/>
      <c r="B273" s="129">
        <f t="shared" si="64"/>
        <v>0</v>
      </c>
      <c r="C273" s="129"/>
      <c r="D273" s="129"/>
      <c r="E273" s="129"/>
      <c r="F273" s="185"/>
      <c r="G273" s="162"/>
      <c r="H273" s="189"/>
      <c r="I273" s="169"/>
      <c r="J273" s="131"/>
      <c r="K273" s="9">
        <f t="shared" si="65"/>
        <v>0</v>
      </c>
      <c r="L273" s="52">
        <f t="shared" si="66"/>
        <v>0</v>
      </c>
      <c r="O273" s="116"/>
      <c r="P273" s="149"/>
    </row>
    <row r="274" spans="1:21" x14ac:dyDescent="0.2">
      <c r="A274" s="13"/>
      <c r="B274" s="129">
        <f t="shared" si="64"/>
        <v>0</v>
      </c>
      <c r="C274" s="129"/>
      <c r="D274" s="129"/>
      <c r="E274" s="129"/>
      <c r="F274" s="185"/>
      <c r="G274" s="162"/>
      <c r="H274" s="189"/>
      <c r="I274" s="169"/>
      <c r="J274" s="131"/>
      <c r="K274" s="9">
        <f t="shared" si="65"/>
        <v>0</v>
      </c>
      <c r="L274" s="52">
        <f t="shared" si="66"/>
        <v>0</v>
      </c>
      <c r="O274" s="116"/>
      <c r="P274" s="149"/>
    </row>
    <row r="275" spans="1:21" x14ac:dyDescent="0.2">
      <c r="A275" s="13"/>
      <c r="B275" s="129">
        <f t="shared" si="64"/>
        <v>0</v>
      </c>
      <c r="C275" s="129"/>
      <c r="D275" s="129"/>
      <c r="E275" s="129"/>
      <c r="F275" s="185"/>
      <c r="G275" s="162"/>
      <c r="H275" s="189"/>
      <c r="I275" s="169"/>
      <c r="J275" s="131"/>
      <c r="K275" s="9">
        <f t="shared" si="65"/>
        <v>0</v>
      </c>
      <c r="L275" s="52">
        <f t="shared" si="66"/>
        <v>0</v>
      </c>
      <c r="O275" s="116"/>
      <c r="P275" s="149"/>
      <c r="U275" s="120"/>
    </row>
    <row r="276" spans="1:21" x14ac:dyDescent="0.2">
      <c r="A276" s="13"/>
      <c r="B276" s="129">
        <f t="shared" si="64"/>
        <v>0</v>
      </c>
      <c r="C276" s="129"/>
      <c r="D276" s="129"/>
      <c r="E276" s="129"/>
      <c r="F276" s="185"/>
      <c r="G276" s="162"/>
      <c r="H276" s="189"/>
      <c r="I276" s="161"/>
      <c r="J276" s="131"/>
      <c r="K276" s="9">
        <f t="shared" si="65"/>
        <v>0</v>
      </c>
      <c r="L276" s="52">
        <f t="shared" si="66"/>
        <v>0</v>
      </c>
      <c r="O276" s="116"/>
      <c r="P276" s="149"/>
    </row>
    <row r="277" spans="1:21" x14ac:dyDescent="0.2">
      <c r="A277" s="13"/>
      <c r="B277" s="129">
        <f t="shared" si="64"/>
        <v>0</v>
      </c>
      <c r="C277" s="129"/>
      <c r="D277" s="129"/>
      <c r="E277" s="129"/>
      <c r="F277" s="185"/>
      <c r="G277" s="162"/>
      <c r="H277" s="189"/>
      <c r="I277" s="161"/>
      <c r="J277" s="131"/>
      <c r="K277" s="9">
        <f t="shared" si="65"/>
        <v>0</v>
      </c>
      <c r="L277" s="52">
        <f t="shared" si="66"/>
        <v>0</v>
      </c>
      <c r="O277" s="116"/>
      <c r="P277" s="149"/>
    </row>
    <row r="278" spans="1:21" x14ac:dyDescent="0.2">
      <c r="A278" s="13"/>
      <c r="B278" s="129">
        <f t="shared" si="64"/>
        <v>0</v>
      </c>
      <c r="C278" s="129"/>
      <c r="D278" s="129"/>
      <c r="E278" s="129"/>
      <c r="F278" s="185"/>
      <c r="G278" s="162"/>
      <c r="H278" s="189"/>
      <c r="I278" s="161"/>
      <c r="J278" s="131"/>
      <c r="K278" s="9">
        <f t="shared" si="65"/>
        <v>0</v>
      </c>
      <c r="L278" s="52">
        <f t="shared" si="66"/>
        <v>0</v>
      </c>
      <c r="O278" s="116"/>
      <c r="P278" s="149"/>
    </row>
    <row r="279" spans="1:21" x14ac:dyDescent="0.2">
      <c r="A279" s="13"/>
      <c r="B279" s="129">
        <f t="shared" si="64"/>
        <v>0</v>
      </c>
      <c r="C279" s="129"/>
      <c r="D279" s="129"/>
      <c r="E279" s="129"/>
      <c r="F279" s="185"/>
      <c r="G279" s="162"/>
      <c r="H279" s="189"/>
      <c r="I279" s="161"/>
      <c r="J279" s="131"/>
      <c r="K279" s="9">
        <f t="shared" si="65"/>
        <v>0</v>
      </c>
      <c r="L279" s="52">
        <f t="shared" si="66"/>
        <v>0</v>
      </c>
      <c r="P279" s="149"/>
    </row>
    <row r="280" spans="1:21" x14ac:dyDescent="0.2">
      <c r="A280" s="13"/>
      <c r="B280" s="129">
        <f t="shared" si="64"/>
        <v>0</v>
      </c>
      <c r="C280" s="129"/>
      <c r="D280" s="129"/>
      <c r="E280" s="129"/>
      <c r="F280" s="185"/>
      <c r="G280" s="162"/>
      <c r="H280" s="189"/>
      <c r="I280" s="161"/>
      <c r="J280" s="131"/>
      <c r="K280" s="9">
        <f t="shared" si="65"/>
        <v>0</v>
      </c>
      <c r="L280" s="52">
        <f t="shared" si="66"/>
        <v>0</v>
      </c>
      <c r="P280" s="149"/>
    </row>
    <row r="281" spans="1:21" x14ac:dyDescent="0.2">
      <c r="A281" s="13"/>
      <c r="B281" s="129">
        <f t="shared" si="64"/>
        <v>0</v>
      </c>
      <c r="C281" s="129"/>
      <c r="D281" s="129"/>
      <c r="E281" s="129"/>
      <c r="F281" s="185"/>
      <c r="G281" s="162"/>
      <c r="H281" s="189"/>
      <c r="I281" s="161"/>
      <c r="J281" s="131"/>
      <c r="K281" s="9">
        <f t="shared" si="65"/>
        <v>0</v>
      </c>
      <c r="L281" s="52">
        <f t="shared" si="66"/>
        <v>0</v>
      </c>
      <c r="P281" s="149"/>
    </row>
    <row r="282" spans="1:21" x14ac:dyDescent="0.2">
      <c r="A282" s="13"/>
      <c r="B282" s="129">
        <f t="shared" si="64"/>
        <v>0</v>
      </c>
      <c r="C282" s="129"/>
      <c r="D282" s="129"/>
      <c r="E282" s="129"/>
      <c r="F282" s="185"/>
      <c r="G282" s="162"/>
      <c r="H282" s="189"/>
      <c r="I282" s="161"/>
      <c r="J282" s="131"/>
      <c r="K282" s="9">
        <f t="shared" si="65"/>
        <v>0</v>
      </c>
      <c r="L282" s="52">
        <f t="shared" si="66"/>
        <v>0</v>
      </c>
      <c r="P282" s="149"/>
    </row>
    <row r="283" spans="1:21" x14ac:dyDescent="0.2">
      <c r="A283" s="13"/>
      <c r="B283" s="129">
        <f t="shared" si="64"/>
        <v>0</v>
      </c>
      <c r="C283" s="129"/>
      <c r="D283" s="129"/>
      <c r="E283" s="129"/>
      <c r="F283" s="185"/>
      <c r="G283" s="162"/>
      <c r="H283" s="189"/>
      <c r="I283" s="161"/>
      <c r="J283" s="131"/>
      <c r="K283" s="9">
        <f t="shared" si="65"/>
        <v>0</v>
      </c>
      <c r="L283" s="52">
        <f t="shared" si="66"/>
        <v>0</v>
      </c>
      <c r="P283" s="149"/>
    </row>
    <row r="284" spans="1:21" x14ac:dyDescent="0.2">
      <c r="A284" s="13"/>
      <c r="B284" s="129">
        <f t="shared" si="64"/>
        <v>0</v>
      </c>
      <c r="C284" s="129"/>
      <c r="D284" s="129"/>
      <c r="E284" s="129"/>
      <c r="F284" s="185"/>
      <c r="G284" s="162"/>
      <c r="H284" s="189"/>
      <c r="I284" s="161"/>
      <c r="J284" s="131"/>
      <c r="K284" s="9">
        <f t="shared" si="65"/>
        <v>0</v>
      </c>
      <c r="L284" s="52">
        <f t="shared" si="66"/>
        <v>0</v>
      </c>
      <c r="P284" s="149"/>
    </row>
    <row r="285" spans="1:21" x14ac:dyDescent="0.2">
      <c r="A285" s="13"/>
      <c r="B285" s="129">
        <f t="shared" si="64"/>
        <v>0</v>
      </c>
      <c r="C285" s="129"/>
      <c r="D285" s="129"/>
      <c r="E285" s="129"/>
      <c r="F285" s="185"/>
      <c r="G285" s="162"/>
      <c r="H285" s="189"/>
      <c r="I285" s="161"/>
      <c r="J285" s="131"/>
      <c r="K285" s="9">
        <f t="shared" si="65"/>
        <v>0</v>
      </c>
      <c r="L285" s="52">
        <f t="shared" si="66"/>
        <v>0</v>
      </c>
      <c r="P285" s="149"/>
    </row>
    <row r="286" spans="1:21" x14ac:dyDescent="0.2">
      <c r="A286" s="13"/>
      <c r="B286" s="129">
        <f t="shared" si="64"/>
        <v>0</v>
      </c>
      <c r="C286" s="129"/>
      <c r="D286" s="129"/>
      <c r="E286" s="129"/>
      <c r="F286" s="185"/>
      <c r="G286" s="162"/>
      <c r="H286" s="189"/>
      <c r="I286" s="161"/>
      <c r="J286" s="131"/>
      <c r="K286" s="9">
        <f t="shared" si="65"/>
        <v>0</v>
      </c>
      <c r="L286" s="52">
        <f t="shared" si="66"/>
        <v>0</v>
      </c>
      <c r="P286" s="149"/>
    </row>
    <row r="287" spans="1:21" x14ac:dyDescent="0.2">
      <c r="A287" s="13"/>
      <c r="B287" s="129">
        <f t="shared" si="64"/>
        <v>0</v>
      </c>
      <c r="C287" s="129"/>
      <c r="D287" s="129"/>
      <c r="E287" s="129"/>
      <c r="F287" s="185"/>
      <c r="G287" s="162"/>
      <c r="H287" s="189"/>
      <c r="I287" s="161"/>
      <c r="J287" s="131"/>
      <c r="K287" s="9">
        <f t="shared" si="65"/>
        <v>0</v>
      </c>
      <c r="L287" s="52">
        <f t="shared" si="66"/>
        <v>0</v>
      </c>
      <c r="P287" s="149"/>
    </row>
    <row r="288" spans="1:21" x14ac:dyDescent="0.2">
      <c r="A288" s="13"/>
      <c r="B288" s="129">
        <f t="shared" si="64"/>
        <v>0</v>
      </c>
      <c r="C288" s="129"/>
      <c r="D288" s="129"/>
      <c r="E288" s="129"/>
      <c r="F288" s="185"/>
      <c r="G288" s="162"/>
      <c r="H288" s="189"/>
      <c r="I288" s="161"/>
      <c r="J288" s="131"/>
      <c r="K288" s="9">
        <f t="shared" si="65"/>
        <v>0</v>
      </c>
      <c r="L288" s="52">
        <f t="shared" si="66"/>
        <v>0</v>
      </c>
    </row>
    <row r="289" spans="1:12" x14ac:dyDescent="0.2">
      <c r="A289" s="13"/>
      <c r="B289" s="129">
        <f t="shared" si="64"/>
        <v>0</v>
      </c>
      <c r="C289" s="129"/>
      <c r="D289" s="129"/>
      <c r="E289" s="129"/>
      <c r="F289" s="185"/>
      <c r="G289" s="162"/>
      <c r="H289" s="189"/>
      <c r="I289" s="161"/>
      <c r="J289" s="131"/>
      <c r="K289" s="9">
        <f t="shared" si="65"/>
        <v>0</v>
      </c>
      <c r="L289" s="52">
        <f t="shared" si="66"/>
        <v>0</v>
      </c>
    </row>
    <row r="290" spans="1:12" x14ac:dyDescent="0.2">
      <c r="A290" s="13"/>
      <c r="B290" s="129">
        <f t="shared" si="64"/>
        <v>0</v>
      </c>
      <c r="C290" s="129"/>
      <c r="D290" s="129"/>
      <c r="E290" s="129"/>
      <c r="F290" s="185"/>
      <c r="G290" s="162"/>
      <c r="H290" s="189"/>
      <c r="I290" s="161"/>
      <c r="J290" s="131"/>
      <c r="K290" s="9">
        <f t="shared" si="65"/>
        <v>0</v>
      </c>
      <c r="L290" s="52">
        <f t="shared" si="66"/>
        <v>0</v>
      </c>
    </row>
    <row r="291" spans="1:12" x14ac:dyDescent="0.2">
      <c r="A291" s="13"/>
      <c r="B291" s="129">
        <f t="shared" si="64"/>
        <v>0</v>
      </c>
      <c r="C291" s="129"/>
      <c r="D291" s="129"/>
      <c r="E291" s="129"/>
      <c r="F291" s="185"/>
      <c r="G291" s="162"/>
      <c r="H291" s="189"/>
      <c r="I291" s="161"/>
      <c r="J291" s="131"/>
      <c r="K291" s="9">
        <f t="shared" si="65"/>
        <v>0</v>
      </c>
      <c r="L291" s="52">
        <f t="shared" si="66"/>
        <v>0</v>
      </c>
    </row>
    <row r="292" spans="1:12" x14ac:dyDescent="0.2">
      <c r="A292" s="13"/>
      <c r="B292" s="129">
        <f t="shared" si="64"/>
        <v>0</v>
      </c>
      <c r="C292" s="129"/>
      <c r="D292" s="129"/>
      <c r="E292" s="129"/>
      <c r="F292" s="185"/>
      <c r="G292" s="162"/>
      <c r="H292" s="189"/>
      <c r="I292" s="161"/>
      <c r="J292" s="131"/>
      <c r="K292" s="9">
        <f t="shared" si="65"/>
        <v>0</v>
      </c>
      <c r="L292" s="52">
        <f t="shared" si="66"/>
        <v>0</v>
      </c>
    </row>
    <row r="293" spans="1:12" x14ac:dyDescent="0.2">
      <c r="A293" s="13"/>
      <c r="B293" s="129">
        <f t="shared" si="64"/>
        <v>0</v>
      </c>
      <c r="C293" s="129"/>
      <c r="D293" s="129"/>
      <c r="E293" s="129"/>
      <c r="F293" s="185"/>
      <c r="G293" s="162"/>
      <c r="H293" s="189"/>
      <c r="I293" s="161"/>
      <c r="J293" s="131"/>
      <c r="K293" s="9">
        <f t="shared" si="65"/>
        <v>0</v>
      </c>
      <c r="L293" s="52">
        <f t="shared" si="66"/>
        <v>0</v>
      </c>
    </row>
    <row r="294" spans="1:12" x14ac:dyDescent="0.2">
      <c r="A294" s="13"/>
      <c r="B294" s="129">
        <f t="shared" si="64"/>
        <v>0</v>
      </c>
      <c r="C294" s="129"/>
      <c r="D294" s="129"/>
      <c r="E294" s="129"/>
      <c r="F294" s="185"/>
      <c r="G294" s="162"/>
      <c r="H294" s="189"/>
      <c r="I294" s="161"/>
      <c r="J294" s="131"/>
      <c r="K294" s="9">
        <f t="shared" si="65"/>
        <v>0</v>
      </c>
      <c r="L294" s="52">
        <f t="shared" si="66"/>
        <v>0</v>
      </c>
    </row>
    <row r="295" spans="1:12" x14ac:dyDescent="0.2">
      <c r="A295" s="13"/>
      <c r="B295" s="129">
        <f t="shared" si="64"/>
        <v>0</v>
      </c>
      <c r="C295" s="129"/>
      <c r="D295" s="129"/>
      <c r="E295" s="129"/>
      <c r="F295" s="185"/>
      <c r="G295" s="162"/>
      <c r="H295" s="189"/>
      <c r="I295" s="161"/>
      <c r="J295" s="131"/>
      <c r="K295" s="9">
        <f t="shared" si="65"/>
        <v>0</v>
      </c>
      <c r="L295" s="52">
        <f t="shared" si="66"/>
        <v>0</v>
      </c>
    </row>
    <row r="296" spans="1:12" x14ac:dyDescent="0.2">
      <c r="A296" s="13"/>
      <c r="B296" s="129">
        <f t="shared" si="64"/>
        <v>0</v>
      </c>
      <c r="C296" s="129"/>
      <c r="D296" s="129"/>
      <c r="E296" s="129"/>
      <c r="F296" s="185"/>
      <c r="G296" s="162"/>
      <c r="H296" s="189"/>
      <c r="I296" s="161"/>
      <c r="J296" s="131"/>
      <c r="K296" s="9">
        <f t="shared" si="65"/>
        <v>0</v>
      </c>
      <c r="L296" s="52">
        <f t="shared" si="66"/>
        <v>0</v>
      </c>
    </row>
    <row r="297" spans="1:12" x14ac:dyDescent="0.2">
      <c r="A297" s="13"/>
      <c r="B297" s="129">
        <f t="shared" si="64"/>
        <v>0</v>
      </c>
      <c r="C297" s="129"/>
      <c r="D297" s="129"/>
      <c r="E297" s="129"/>
      <c r="F297" s="185"/>
      <c r="G297" s="162"/>
      <c r="H297" s="189"/>
      <c r="I297" s="161"/>
      <c r="J297" s="131"/>
      <c r="K297" s="9">
        <f t="shared" si="65"/>
        <v>0</v>
      </c>
      <c r="L297" s="52">
        <f t="shared" si="66"/>
        <v>0</v>
      </c>
    </row>
    <row r="298" spans="1:12" x14ac:dyDescent="0.2">
      <c r="A298" s="13"/>
      <c r="B298" s="129">
        <f t="shared" si="64"/>
        <v>0</v>
      </c>
      <c r="C298" s="129"/>
      <c r="D298" s="129"/>
      <c r="E298" s="129"/>
      <c r="F298" s="185"/>
      <c r="G298" s="162"/>
      <c r="H298" s="189"/>
      <c r="I298" s="161"/>
      <c r="J298" s="131"/>
      <c r="K298" s="9">
        <f t="shared" si="65"/>
        <v>0</v>
      </c>
      <c r="L298" s="52">
        <f t="shared" si="66"/>
        <v>0</v>
      </c>
    </row>
    <row r="299" spans="1:12" x14ac:dyDescent="0.2">
      <c r="A299" s="13"/>
      <c r="B299" s="129">
        <f t="shared" si="64"/>
        <v>0</v>
      </c>
      <c r="C299" s="129"/>
      <c r="D299" s="129"/>
      <c r="E299" s="129"/>
      <c r="F299" s="185"/>
      <c r="G299" s="162"/>
      <c r="H299" s="189"/>
      <c r="I299" s="161"/>
      <c r="J299" s="131"/>
      <c r="K299" s="9">
        <f t="shared" si="65"/>
        <v>0</v>
      </c>
      <c r="L299" s="52">
        <f t="shared" si="66"/>
        <v>0</v>
      </c>
    </row>
    <row r="300" spans="1:12" x14ac:dyDescent="0.2">
      <c r="A300" s="13"/>
      <c r="B300" s="129">
        <f t="shared" si="64"/>
        <v>0</v>
      </c>
      <c r="C300" s="129"/>
      <c r="D300" s="129"/>
      <c r="E300" s="129"/>
      <c r="F300" s="185"/>
      <c r="G300" s="162"/>
      <c r="H300" s="189"/>
      <c r="I300" s="161"/>
      <c r="J300" s="131"/>
      <c r="K300" s="9">
        <f t="shared" si="65"/>
        <v>0</v>
      </c>
      <c r="L300" s="52">
        <f t="shared" si="66"/>
        <v>0</v>
      </c>
    </row>
    <row r="301" spans="1:12" x14ac:dyDescent="0.2">
      <c r="A301" s="13"/>
      <c r="B301" s="129">
        <f t="shared" si="64"/>
        <v>0</v>
      </c>
      <c r="C301" s="129"/>
      <c r="D301" s="129"/>
      <c r="E301" s="129"/>
      <c r="F301" s="185"/>
      <c r="G301" s="162"/>
      <c r="H301" s="189"/>
      <c r="I301" s="161"/>
      <c r="J301" s="131"/>
      <c r="K301" s="9">
        <f t="shared" si="65"/>
        <v>0</v>
      </c>
      <c r="L301" s="52">
        <f t="shared" si="66"/>
        <v>0</v>
      </c>
    </row>
    <row r="302" spans="1:12" x14ac:dyDescent="0.2">
      <c r="A302" s="13"/>
      <c r="B302" s="129">
        <f t="shared" si="64"/>
        <v>0</v>
      </c>
      <c r="C302" s="129"/>
      <c r="D302" s="129"/>
      <c r="E302" s="129"/>
      <c r="F302" s="185"/>
      <c r="G302" s="162"/>
      <c r="H302" s="189"/>
      <c r="I302" s="161"/>
      <c r="J302" s="131"/>
      <c r="K302" s="9">
        <f t="shared" si="65"/>
        <v>0</v>
      </c>
      <c r="L302" s="52">
        <f t="shared" si="66"/>
        <v>0</v>
      </c>
    </row>
    <row r="303" spans="1:12" x14ac:dyDescent="0.2">
      <c r="A303" s="13"/>
      <c r="B303" s="129">
        <f t="shared" si="64"/>
        <v>0</v>
      </c>
      <c r="C303" s="129"/>
      <c r="D303" s="129"/>
      <c r="E303" s="129"/>
      <c r="F303" s="185"/>
      <c r="G303" s="162"/>
      <c r="H303" s="189"/>
      <c r="I303" s="161"/>
      <c r="J303" s="131"/>
      <c r="K303" s="9">
        <f t="shared" si="65"/>
        <v>0</v>
      </c>
      <c r="L303" s="52">
        <f t="shared" si="66"/>
        <v>0</v>
      </c>
    </row>
    <row r="304" spans="1:12" x14ac:dyDescent="0.2">
      <c r="A304" s="13"/>
      <c r="B304" s="129">
        <f t="shared" si="64"/>
        <v>0</v>
      </c>
      <c r="C304" s="129"/>
      <c r="D304" s="129"/>
      <c r="E304" s="129"/>
      <c r="F304" s="185"/>
      <c r="G304" s="162"/>
      <c r="H304" s="189"/>
      <c r="I304" s="161"/>
      <c r="J304" s="131"/>
      <c r="K304" s="9">
        <f t="shared" si="65"/>
        <v>0</v>
      </c>
      <c r="L304" s="52">
        <f t="shared" si="66"/>
        <v>0</v>
      </c>
    </row>
    <row r="305" spans="1:23" x14ac:dyDescent="0.2">
      <c r="A305" s="13"/>
      <c r="B305" s="129">
        <f t="shared" si="64"/>
        <v>0</v>
      </c>
      <c r="C305" s="129"/>
      <c r="D305" s="129"/>
      <c r="E305" s="129"/>
      <c r="F305" s="185"/>
      <c r="G305" s="162"/>
      <c r="H305" s="189"/>
      <c r="I305" s="161"/>
      <c r="J305" s="131"/>
      <c r="K305" s="9">
        <f t="shared" si="65"/>
        <v>0</v>
      </c>
      <c r="L305" s="52">
        <f t="shared" si="66"/>
        <v>0</v>
      </c>
      <c r="M305" s="242"/>
      <c r="N305" s="242"/>
      <c r="O305" s="242"/>
    </row>
    <row r="306" spans="1:23" x14ac:dyDescent="0.2">
      <c r="A306" s="13"/>
      <c r="B306" s="129">
        <f t="shared" si="64"/>
        <v>0</v>
      </c>
      <c r="C306" s="129"/>
      <c r="D306" s="129"/>
      <c r="E306" s="129"/>
      <c r="F306" s="185"/>
      <c r="G306" s="162"/>
      <c r="H306" s="189"/>
      <c r="I306" s="161"/>
      <c r="J306" s="131"/>
      <c r="K306" s="9">
        <f t="shared" si="65"/>
        <v>0</v>
      </c>
      <c r="L306" s="52">
        <f t="shared" si="66"/>
        <v>0</v>
      </c>
    </row>
    <row r="307" spans="1:23" x14ac:dyDescent="0.2">
      <c r="A307" s="13"/>
      <c r="B307" s="129">
        <f t="shared" si="64"/>
        <v>0</v>
      </c>
      <c r="C307" s="129"/>
      <c r="D307" s="129"/>
      <c r="E307" s="129"/>
      <c r="F307" s="185"/>
      <c r="G307" s="162"/>
      <c r="H307" s="189"/>
      <c r="I307" s="161"/>
      <c r="J307" s="131"/>
      <c r="K307" s="9">
        <f t="shared" si="65"/>
        <v>0</v>
      </c>
      <c r="L307" s="52">
        <f t="shared" si="66"/>
        <v>0</v>
      </c>
    </row>
    <row r="308" spans="1:23" x14ac:dyDescent="0.2">
      <c r="A308" s="13"/>
      <c r="B308" s="129">
        <f t="shared" si="64"/>
        <v>0</v>
      </c>
      <c r="C308" s="129"/>
      <c r="D308" s="129"/>
      <c r="E308" s="129"/>
      <c r="F308" s="185"/>
      <c r="G308" s="162"/>
      <c r="H308" s="189"/>
      <c r="I308" s="161"/>
      <c r="J308" s="131"/>
      <c r="K308" s="9">
        <f t="shared" si="65"/>
        <v>0</v>
      </c>
      <c r="L308" s="52">
        <f t="shared" si="66"/>
        <v>0</v>
      </c>
    </row>
    <row r="309" spans="1:23" x14ac:dyDescent="0.2">
      <c r="A309" s="13"/>
      <c r="B309" s="129">
        <f t="shared" si="64"/>
        <v>0</v>
      </c>
      <c r="C309" s="129"/>
      <c r="D309" s="129"/>
      <c r="E309" s="129"/>
      <c r="F309" s="185"/>
      <c r="G309" s="162"/>
      <c r="H309" s="189"/>
      <c r="I309" s="161"/>
      <c r="J309" s="131"/>
      <c r="K309" s="9">
        <f t="shared" si="65"/>
        <v>0</v>
      </c>
      <c r="L309" s="52">
        <f t="shared" si="66"/>
        <v>0</v>
      </c>
    </row>
    <row r="310" spans="1:23" x14ac:dyDescent="0.2">
      <c r="A310" s="13"/>
      <c r="B310" s="129">
        <f t="shared" si="64"/>
        <v>0</v>
      </c>
      <c r="C310" s="129"/>
      <c r="D310" s="129"/>
      <c r="E310" s="129"/>
      <c r="F310" s="185"/>
      <c r="G310" s="162"/>
      <c r="H310" s="189"/>
      <c r="I310" s="161"/>
      <c r="J310" s="131"/>
      <c r="K310" s="9">
        <f t="shared" si="65"/>
        <v>0</v>
      </c>
      <c r="L310" s="52">
        <f t="shared" si="66"/>
        <v>0</v>
      </c>
      <c r="P310" s="123"/>
    </row>
    <row r="311" spans="1:23" x14ac:dyDescent="0.2">
      <c r="A311" s="13"/>
      <c r="B311" s="129">
        <f t="shared" si="64"/>
        <v>0</v>
      </c>
      <c r="C311" s="129"/>
      <c r="D311" s="129"/>
      <c r="E311" s="129"/>
      <c r="F311" s="185"/>
      <c r="G311" s="162"/>
      <c r="H311" s="189"/>
      <c r="I311" s="161"/>
      <c r="J311" s="131"/>
      <c r="K311" s="9">
        <f t="shared" si="65"/>
        <v>0</v>
      </c>
      <c r="L311" s="52">
        <f t="shared" si="66"/>
        <v>0</v>
      </c>
      <c r="P311" s="123"/>
    </row>
    <row r="312" spans="1:23" x14ac:dyDescent="0.2">
      <c r="A312" s="13"/>
      <c r="B312" s="129">
        <f t="shared" si="64"/>
        <v>0</v>
      </c>
      <c r="C312" s="129"/>
      <c r="D312" s="129"/>
      <c r="E312" s="129"/>
      <c r="F312" s="185"/>
      <c r="G312" s="162"/>
      <c r="H312" s="189"/>
      <c r="I312" s="161"/>
      <c r="J312" s="131"/>
      <c r="K312" s="9">
        <f t="shared" si="65"/>
        <v>0</v>
      </c>
      <c r="L312" s="52">
        <f t="shared" si="66"/>
        <v>0</v>
      </c>
      <c r="P312" s="123"/>
    </row>
    <row r="313" spans="1:23" x14ac:dyDescent="0.2">
      <c r="A313" s="13"/>
      <c r="B313" s="129">
        <f t="shared" si="64"/>
        <v>0</v>
      </c>
      <c r="C313" s="129"/>
      <c r="D313" s="129"/>
      <c r="E313" s="129"/>
      <c r="F313" s="185"/>
      <c r="G313" s="162"/>
      <c r="H313" s="189"/>
      <c r="I313" s="161"/>
      <c r="J313" s="131"/>
      <c r="K313" s="9">
        <f t="shared" si="65"/>
        <v>0</v>
      </c>
      <c r="L313" s="52">
        <f t="shared" si="66"/>
        <v>0</v>
      </c>
      <c r="P313" s="123"/>
      <c r="W313" s="105"/>
    </row>
    <row r="314" spans="1:23" x14ac:dyDescent="0.2">
      <c r="A314" s="13"/>
      <c r="B314" s="129">
        <f t="shared" si="64"/>
        <v>0</v>
      </c>
      <c r="C314" s="129"/>
      <c r="D314" s="129"/>
      <c r="E314" s="129"/>
      <c r="F314" s="185"/>
      <c r="G314" s="162"/>
      <c r="H314" s="189"/>
      <c r="I314" s="161"/>
      <c r="J314" s="131"/>
      <c r="K314" s="9">
        <f t="shared" si="65"/>
        <v>0</v>
      </c>
      <c r="L314" s="52">
        <f t="shared" si="66"/>
        <v>0</v>
      </c>
      <c r="M314" s="124"/>
      <c r="O314" s="117"/>
      <c r="P314" s="125"/>
    </row>
    <row r="315" spans="1:23" x14ac:dyDescent="0.2">
      <c r="A315" s="13"/>
      <c r="B315" s="129">
        <f t="shared" si="64"/>
        <v>0</v>
      </c>
      <c r="C315" s="129"/>
      <c r="D315" s="129"/>
      <c r="E315" s="129"/>
      <c r="F315" s="185"/>
      <c r="G315" s="162"/>
      <c r="H315" s="189"/>
      <c r="I315" s="161"/>
      <c r="J315" s="131"/>
      <c r="K315" s="9">
        <f t="shared" si="65"/>
        <v>0</v>
      </c>
      <c r="L315" s="52">
        <f t="shared" si="66"/>
        <v>0</v>
      </c>
      <c r="M315" s="126"/>
      <c r="N315" s="126"/>
      <c r="O315" s="126"/>
      <c r="P315" s="125"/>
    </row>
    <row r="316" spans="1:23" x14ac:dyDescent="0.2">
      <c r="A316" s="13"/>
      <c r="B316" s="129">
        <f t="shared" si="64"/>
        <v>0</v>
      </c>
      <c r="C316" s="129"/>
      <c r="D316" s="129"/>
      <c r="E316" s="129"/>
      <c r="F316" s="185"/>
      <c r="G316" s="162"/>
      <c r="H316" s="189"/>
      <c r="I316" s="161"/>
      <c r="J316" s="131"/>
      <c r="K316" s="9">
        <f t="shared" si="65"/>
        <v>0</v>
      </c>
      <c r="L316" s="52">
        <f t="shared" si="66"/>
        <v>0</v>
      </c>
      <c r="M316" s="235"/>
      <c r="N316" s="235"/>
      <c r="O316" s="235"/>
    </row>
    <row r="317" spans="1:23" x14ac:dyDescent="0.2">
      <c r="A317" s="13"/>
      <c r="B317" s="129">
        <f t="shared" si="64"/>
        <v>0</v>
      </c>
      <c r="C317" s="129"/>
      <c r="D317" s="129"/>
      <c r="E317" s="129"/>
      <c r="F317" s="185"/>
      <c r="G317" s="162"/>
      <c r="H317" s="189"/>
      <c r="I317" s="161"/>
      <c r="J317" s="131"/>
      <c r="K317" s="9">
        <f t="shared" si="65"/>
        <v>0</v>
      </c>
      <c r="L317" s="52">
        <f t="shared" si="66"/>
        <v>0</v>
      </c>
      <c r="M317" s="235"/>
      <c r="N317" s="235"/>
      <c r="O317" s="235"/>
    </row>
    <row r="318" spans="1:23" x14ac:dyDescent="0.2">
      <c r="A318" s="13"/>
      <c r="B318" s="129">
        <f t="shared" si="64"/>
        <v>0</v>
      </c>
      <c r="C318" s="129"/>
      <c r="D318" s="129"/>
      <c r="E318" s="129"/>
      <c r="F318" s="185"/>
      <c r="G318" s="162"/>
      <c r="H318" s="189"/>
      <c r="I318" s="161"/>
      <c r="J318" s="131"/>
      <c r="K318" s="9">
        <f t="shared" si="65"/>
        <v>0</v>
      </c>
      <c r="L318" s="52">
        <f t="shared" si="66"/>
        <v>0</v>
      </c>
      <c r="M318" s="235"/>
      <c r="N318" s="235"/>
      <c r="O318" s="235"/>
    </row>
    <row r="319" spans="1:23" x14ac:dyDescent="0.2">
      <c r="A319" s="13"/>
      <c r="B319" s="129">
        <f t="shared" si="64"/>
        <v>0</v>
      </c>
      <c r="C319" s="129"/>
      <c r="D319" s="129"/>
      <c r="E319" s="129"/>
      <c r="F319" s="185"/>
      <c r="G319" s="162"/>
      <c r="H319" s="189"/>
      <c r="I319" s="161"/>
      <c r="J319" s="131"/>
      <c r="K319" s="9">
        <f t="shared" si="65"/>
        <v>0</v>
      </c>
      <c r="L319" s="52">
        <f t="shared" si="66"/>
        <v>0</v>
      </c>
      <c r="M319" s="235"/>
      <c r="N319" s="235"/>
      <c r="O319" s="235"/>
    </row>
    <row r="320" spans="1:23" x14ac:dyDescent="0.2">
      <c r="A320" s="13"/>
      <c r="B320" s="129">
        <f t="shared" si="64"/>
        <v>0</v>
      </c>
      <c r="C320" s="129"/>
      <c r="D320" s="129"/>
      <c r="E320" s="129"/>
      <c r="F320" s="185"/>
      <c r="G320" s="252"/>
      <c r="H320" s="189"/>
      <c r="I320" s="253"/>
      <c r="J320" s="131"/>
      <c r="K320" s="9">
        <f t="shared" si="65"/>
        <v>0</v>
      </c>
      <c r="L320" s="52">
        <f t="shared" si="66"/>
        <v>0</v>
      </c>
      <c r="M320" s="235"/>
      <c r="N320" s="235"/>
      <c r="O320" s="235"/>
    </row>
    <row r="321" spans="1:15" x14ac:dyDescent="0.2">
      <c r="A321" s="13"/>
      <c r="B321" s="129">
        <f t="shared" si="64"/>
        <v>0</v>
      </c>
      <c r="C321" s="129"/>
      <c r="D321" s="129"/>
      <c r="E321" s="129"/>
      <c r="F321" s="185"/>
      <c r="G321" s="252"/>
      <c r="H321" s="189"/>
      <c r="I321" s="253"/>
      <c r="J321" s="131"/>
      <c r="K321" s="9">
        <f t="shared" si="65"/>
        <v>0</v>
      </c>
      <c r="L321" s="52">
        <f t="shared" si="66"/>
        <v>0</v>
      </c>
      <c r="M321" s="235"/>
      <c r="N321" s="235"/>
      <c r="O321" s="235"/>
    </row>
    <row r="322" spans="1:15" x14ac:dyDescent="0.2">
      <c r="A322" s="13"/>
      <c r="B322" s="129">
        <f t="shared" si="64"/>
        <v>0</v>
      </c>
      <c r="C322" s="129"/>
      <c r="D322" s="129"/>
      <c r="E322" s="129"/>
      <c r="F322" s="185"/>
      <c r="G322" s="252"/>
      <c r="H322" s="189"/>
      <c r="I322" s="253"/>
      <c r="J322" s="131"/>
      <c r="K322" s="9">
        <f t="shared" si="65"/>
        <v>0</v>
      </c>
      <c r="L322" s="52">
        <f t="shared" si="66"/>
        <v>0</v>
      </c>
      <c r="M322" s="235"/>
      <c r="N322" s="235"/>
      <c r="O322" s="235"/>
    </row>
    <row r="323" spans="1:15" x14ac:dyDescent="0.2">
      <c r="A323" s="13"/>
      <c r="B323" s="129">
        <f t="shared" si="64"/>
        <v>0</v>
      </c>
      <c r="C323" s="129"/>
      <c r="D323" s="129"/>
      <c r="E323" s="129"/>
      <c r="F323" s="185"/>
      <c r="G323" s="252"/>
      <c r="H323" s="189"/>
      <c r="I323" s="253"/>
      <c r="J323" s="131"/>
      <c r="K323" s="9">
        <f t="shared" si="65"/>
        <v>0</v>
      </c>
      <c r="L323" s="52">
        <f t="shared" si="66"/>
        <v>0</v>
      </c>
      <c r="M323" s="235"/>
      <c r="N323" s="235"/>
      <c r="O323" s="235"/>
    </row>
    <row r="324" spans="1:15" x14ac:dyDescent="0.2">
      <c r="A324" s="13"/>
      <c r="B324" s="129">
        <f t="shared" si="64"/>
        <v>0</v>
      </c>
      <c r="C324" s="129"/>
      <c r="D324" s="129"/>
      <c r="E324" s="129"/>
      <c r="F324" s="185"/>
      <c r="G324" s="252"/>
      <c r="H324" s="189"/>
      <c r="I324" s="253"/>
      <c r="J324" s="131"/>
      <c r="K324" s="9">
        <f t="shared" si="65"/>
        <v>0</v>
      </c>
      <c r="L324" s="52">
        <f t="shared" si="66"/>
        <v>0</v>
      </c>
    </row>
    <row r="325" spans="1:15" x14ac:dyDescent="0.2">
      <c r="A325" s="13"/>
      <c r="B325" s="129">
        <f t="shared" si="64"/>
        <v>0</v>
      </c>
      <c r="C325" s="129"/>
      <c r="D325" s="129"/>
      <c r="E325" s="129"/>
      <c r="F325" s="185"/>
      <c r="G325" s="252"/>
      <c r="H325" s="189"/>
      <c r="I325" s="253"/>
      <c r="J325" s="131"/>
      <c r="K325" s="9">
        <f t="shared" si="65"/>
        <v>0</v>
      </c>
      <c r="L325" s="52">
        <f t="shared" si="66"/>
        <v>0</v>
      </c>
    </row>
    <row r="326" spans="1:15" x14ac:dyDescent="0.2">
      <c r="A326" s="13"/>
      <c r="B326" s="129">
        <f t="shared" si="64"/>
        <v>0</v>
      </c>
      <c r="C326" s="129"/>
      <c r="D326" s="129"/>
      <c r="E326" s="129"/>
      <c r="F326" s="185"/>
      <c r="G326" s="252"/>
      <c r="H326" s="189"/>
      <c r="I326" s="253"/>
      <c r="J326" s="131"/>
      <c r="K326" s="9">
        <f t="shared" si="65"/>
        <v>0</v>
      </c>
      <c r="L326" s="52">
        <f t="shared" si="66"/>
        <v>0</v>
      </c>
    </row>
    <row r="327" spans="1:15" x14ac:dyDescent="0.2">
      <c r="A327" s="13"/>
      <c r="B327" s="129">
        <f t="shared" si="64"/>
        <v>0</v>
      </c>
      <c r="C327" s="129"/>
      <c r="D327" s="129"/>
      <c r="E327" s="129"/>
      <c r="F327" s="185"/>
      <c r="G327" s="252"/>
      <c r="H327" s="189"/>
      <c r="I327" s="253"/>
      <c r="J327" s="131"/>
      <c r="K327" s="9">
        <f t="shared" si="65"/>
        <v>0</v>
      </c>
      <c r="L327" s="52">
        <f t="shared" si="66"/>
        <v>0</v>
      </c>
    </row>
    <row r="328" spans="1:15" x14ac:dyDescent="0.2">
      <c r="A328" s="13"/>
      <c r="B328" s="129">
        <f t="shared" si="64"/>
        <v>0</v>
      </c>
      <c r="C328" s="129"/>
      <c r="D328" s="129"/>
      <c r="E328" s="129"/>
      <c r="F328" s="185"/>
      <c r="G328" s="252"/>
      <c r="H328" s="189"/>
      <c r="I328" s="253"/>
      <c r="J328" s="131"/>
      <c r="K328" s="9">
        <f t="shared" si="65"/>
        <v>0</v>
      </c>
      <c r="L328" s="52">
        <f t="shared" si="66"/>
        <v>0</v>
      </c>
    </row>
    <row r="329" spans="1:15" x14ac:dyDescent="0.2">
      <c r="A329" s="13"/>
      <c r="B329" s="129">
        <f t="shared" ref="B329:B336" si="67">+J329-G329</f>
        <v>0</v>
      </c>
      <c r="C329" s="129"/>
      <c r="D329" s="129"/>
      <c r="E329" s="129"/>
      <c r="F329" s="185"/>
      <c r="G329" s="252"/>
      <c r="H329" s="189"/>
      <c r="I329" s="253"/>
      <c r="J329" s="131"/>
      <c r="K329" s="9">
        <f t="shared" si="65"/>
        <v>0</v>
      </c>
      <c r="L329" s="52">
        <f t="shared" si="66"/>
        <v>0</v>
      </c>
    </row>
    <row r="330" spans="1:15" x14ac:dyDescent="0.2">
      <c r="A330" s="13"/>
      <c r="B330" s="129">
        <f t="shared" si="67"/>
        <v>0</v>
      </c>
      <c r="C330" s="129"/>
      <c r="D330" s="129"/>
      <c r="E330" s="129"/>
      <c r="F330" s="185"/>
      <c r="G330" s="252"/>
      <c r="H330" s="189"/>
      <c r="I330" s="253"/>
      <c r="J330" s="131"/>
      <c r="K330" s="9">
        <f t="shared" ref="K330:K384" si="68">J330+K329</f>
        <v>0</v>
      </c>
      <c r="L330" s="52">
        <f t="shared" ref="L330:L384" si="69">+K330+$AX$58+$AU$10+$AU$11+$AU$12</f>
        <v>0</v>
      </c>
    </row>
    <row r="331" spans="1:15" x14ac:dyDescent="0.2">
      <c r="A331" s="13"/>
      <c r="B331" s="129">
        <f t="shared" si="67"/>
        <v>0</v>
      </c>
      <c r="C331" s="129"/>
      <c r="D331" s="129"/>
      <c r="E331" s="129"/>
      <c r="F331" s="185"/>
      <c r="G331" s="252"/>
      <c r="H331" s="189"/>
      <c r="I331" s="253"/>
      <c r="J331" s="131"/>
      <c r="K331" s="9">
        <f t="shared" si="68"/>
        <v>0</v>
      </c>
      <c r="L331" s="52">
        <f t="shared" si="69"/>
        <v>0</v>
      </c>
    </row>
    <row r="332" spans="1:15" x14ac:dyDescent="0.2">
      <c r="A332" s="13"/>
      <c r="B332" s="129">
        <f t="shared" si="67"/>
        <v>0</v>
      </c>
      <c r="C332" s="129"/>
      <c r="D332" s="129"/>
      <c r="E332" s="129"/>
      <c r="F332" s="185"/>
      <c r="G332" s="252"/>
      <c r="H332" s="189"/>
      <c r="I332" s="253"/>
      <c r="J332" s="131"/>
      <c r="K332" s="9">
        <f t="shared" si="68"/>
        <v>0</v>
      </c>
      <c r="L332" s="52">
        <f t="shared" si="69"/>
        <v>0</v>
      </c>
    </row>
    <row r="333" spans="1:15" x14ac:dyDescent="0.2">
      <c r="A333" s="13"/>
      <c r="B333" s="129">
        <f t="shared" si="67"/>
        <v>0</v>
      </c>
      <c r="C333" s="129"/>
      <c r="D333" s="129"/>
      <c r="E333" s="129"/>
      <c r="F333" s="185"/>
      <c r="G333" s="252"/>
      <c r="H333" s="189"/>
      <c r="I333" s="253"/>
      <c r="J333" s="131"/>
      <c r="K333" s="9">
        <f t="shared" si="68"/>
        <v>0</v>
      </c>
      <c r="L333" s="52">
        <f t="shared" si="69"/>
        <v>0</v>
      </c>
      <c r="M333" s="89"/>
      <c r="N333" s="89"/>
      <c r="O333" s="105"/>
    </row>
    <row r="334" spans="1:15" x14ac:dyDescent="0.2">
      <c r="A334" s="13"/>
      <c r="B334" s="129">
        <f t="shared" si="67"/>
        <v>0</v>
      </c>
      <c r="C334" s="129"/>
      <c r="D334" s="129"/>
      <c r="E334" s="129"/>
      <c r="F334" s="185"/>
      <c r="G334" s="252"/>
      <c r="H334" s="189"/>
      <c r="I334" s="253"/>
      <c r="J334" s="131"/>
      <c r="K334" s="9">
        <f t="shared" si="68"/>
        <v>0</v>
      </c>
      <c r="L334" s="52">
        <f t="shared" si="69"/>
        <v>0</v>
      </c>
      <c r="M334" s="89"/>
      <c r="N334" s="89"/>
      <c r="O334" s="105"/>
    </row>
    <row r="335" spans="1:15" x14ac:dyDescent="0.2">
      <c r="A335" s="13"/>
      <c r="B335" s="129">
        <f t="shared" si="67"/>
        <v>0</v>
      </c>
      <c r="C335" s="129"/>
      <c r="D335" s="129"/>
      <c r="E335" s="129"/>
      <c r="F335" s="185"/>
      <c r="G335" s="252"/>
      <c r="H335" s="189"/>
      <c r="I335" s="253"/>
      <c r="J335" s="131"/>
      <c r="K335" s="9">
        <f t="shared" si="68"/>
        <v>0</v>
      </c>
      <c r="L335" s="52">
        <f t="shared" si="69"/>
        <v>0</v>
      </c>
    </row>
    <row r="336" spans="1:15" x14ac:dyDescent="0.2">
      <c r="A336" s="13"/>
      <c r="B336" s="129">
        <f t="shared" si="67"/>
        <v>0</v>
      </c>
      <c r="C336" s="129"/>
      <c r="D336" s="129"/>
      <c r="E336" s="129"/>
      <c r="F336" s="185"/>
      <c r="G336" s="252"/>
      <c r="H336" s="189"/>
      <c r="I336" s="253"/>
      <c r="J336" s="131"/>
      <c r="K336" s="9">
        <f t="shared" si="68"/>
        <v>0</v>
      </c>
      <c r="L336" s="52">
        <f t="shared" si="69"/>
        <v>0</v>
      </c>
    </row>
    <row r="337" spans="1:25" x14ac:dyDescent="0.2">
      <c r="A337" s="13"/>
      <c r="B337" s="129">
        <f t="shared" ref="B337:B339" si="70">+J337-G337</f>
        <v>0</v>
      </c>
      <c r="C337" s="129"/>
      <c r="D337" s="129"/>
      <c r="E337" s="129"/>
      <c r="F337" s="129"/>
      <c r="G337" s="253"/>
      <c r="H337" s="189"/>
      <c r="I337" s="253"/>
      <c r="J337" s="131"/>
      <c r="K337" s="9">
        <f t="shared" si="68"/>
        <v>0</v>
      </c>
      <c r="L337" s="52">
        <f t="shared" si="69"/>
        <v>0</v>
      </c>
    </row>
    <row r="338" spans="1:25" x14ac:dyDescent="0.2">
      <c r="A338" s="13"/>
      <c r="B338" s="129">
        <f t="shared" si="70"/>
        <v>0</v>
      </c>
      <c r="C338" s="129"/>
      <c r="D338" s="129"/>
      <c r="E338" s="129"/>
      <c r="F338" s="129"/>
      <c r="G338" s="253"/>
      <c r="H338" s="189"/>
      <c r="I338" s="253"/>
      <c r="J338" s="131"/>
      <c r="K338" s="9">
        <f t="shared" si="68"/>
        <v>0</v>
      </c>
      <c r="L338" s="52">
        <f t="shared" si="69"/>
        <v>0</v>
      </c>
      <c r="O338" s="105"/>
    </row>
    <row r="339" spans="1:25" x14ac:dyDescent="0.2">
      <c r="A339" s="13"/>
      <c r="B339" s="129">
        <f t="shared" si="70"/>
        <v>0</v>
      </c>
      <c r="C339" s="129"/>
      <c r="D339" s="129"/>
      <c r="E339" s="129"/>
      <c r="F339" s="129"/>
      <c r="G339" s="253"/>
      <c r="H339" s="189"/>
      <c r="I339" s="253"/>
      <c r="J339" s="131"/>
      <c r="K339" s="9">
        <f t="shared" si="68"/>
        <v>0</v>
      </c>
      <c r="L339" s="52">
        <f t="shared" si="69"/>
        <v>0</v>
      </c>
      <c r="O339" s="105"/>
    </row>
    <row r="340" spans="1:25" x14ac:dyDescent="0.2">
      <c r="A340" s="13"/>
      <c r="B340" s="129">
        <f t="shared" ref="B340:B384" si="71">+J340-G340</f>
        <v>0</v>
      </c>
      <c r="C340" s="129"/>
      <c r="D340" s="129"/>
      <c r="E340" s="129"/>
      <c r="F340" s="129"/>
      <c r="G340" s="253"/>
      <c r="H340" s="254"/>
      <c r="I340" s="253"/>
      <c r="J340" s="131"/>
      <c r="K340" s="9">
        <f t="shared" si="68"/>
        <v>0</v>
      </c>
      <c r="L340" s="52">
        <f t="shared" si="69"/>
        <v>0</v>
      </c>
    </row>
    <row r="341" spans="1:25" x14ac:dyDescent="0.2">
      <c r="A341" s="13"/>
      <c r="B341" s="129">
        <f t="shared" si="71"/>
        <v>0</v>
      </c>
      <c r="C341" s="129"/>
      <c r="D341" s="129"/>
      <c r="E341" s="129"/>
      <c r="F341" s="129"/>
      <c r="G341" s="253"/>
      <c r="H341" s="254"/>
      <c r="I341" s="253"/>
      <c r="J341" s="131"/>
      <c r="K341" s="9">
        <f t="shared" si="68"/>
        <v>0</v>
      </c>
      <c r="L341" s="52">
        <f t="shared" si="69"/>
        <v>0</v>
      </c>
    </row>
    <row r="342" spans="1:25" x14ac:dyDescent="0.2">
      <c r="A342" s="13"/>
      <c r="B342" s="129">
        <f t="shared" si="71"/>
        <v>0</v>
      </c>
      <c r="C342" s="129"/>
      <c r="D342" s="129"/>
      <c r="E342" s="129"/>
      <c r="F342" s="129"/>
      <c r="G342" s="253"/>
      <c r="H342" s="254"/>
      <c r="I342" s="253"/>
      <c r="J342" s="131"/>
      <c r="K342" s="9">
        <f t="shared" si="68"/>
        <v>0</v>
      </c>
      <c r="L342" s="52">
        <f t="shared" si="69"/>
        <v>0</v>
      </c>
    </row>
    <row r="343" spans="1:25" x14ac:dyDescent="0.2">
      <c r="A343" s="13"/>
      <c r="B343" s="129">
        <f t="shared" si="71"/>
        <v>0</v>
      </c>
      <c r="C343" s="129"/>
      <c r="D343" s="129"/>
      <c r="E343" s="129"/>
      <c r="F343" s="129"/>
      <c r="G343" s="253"/>
      <c r="H343" s="254"/>
      <c r="I343" s="253"/>
      <c r="J343" s="131"/>
      <c r="K343" s="9">
        <f t="shared" si="68"/>
        <v>0</v>
      </c>
      <c r="L343" s="52">
        <f t="shared" si="69"/>
        <v>0</v>
      </c>
      <c r="P343" s="132"/>
      <c r="Q343" s="132"/>
      <c r="R343" s="133"/>
      <c r="S343" s="133"/>
      <c r="T343" s="133"/>
      <c r="U343" s="132"/>
      <c r="V343" s="132"/>
      <c r="W343" s="133"/>
      <c r="X343" s="133"/>
      <c r="Y343" s="132"/>
    </row>
    <row r="344" spans="1:25" x14ac:dyDescent="0.2">
      <c r="A344" s="13"/>
      <c r="B344" s="129">
        <f t="shared" si="71"/>
        <v>0</v>
      </c>
      <c r="C344" s="129"/>
      <c r="D344" s="129"/>
      <c r="E344" s="129"/>
      <c r="F344" s="129"/>
      <c r="G344" s="253"/>
      <c r="H344" s="254"/>
      <c r="I344" s="253"/>
      <c r="J344" s="131"/>
      <c r="K344" s="9">
        <f t="shared" si="68"/>
        <v>0</v>
      </c>
      <c r="L344" s="52">
        <f t="shared" si="69"/>
        <v>0</v>
      </c>
      <c r="P344" s="132"/>
      <c r="Q344" s="132"/>
      <c r="R344" s="133"/>
      <c r="S344" s="133"/>
      <c r="T344" s="132"/>
      <c r="U344" s="132"/>
      <c r="V344" s="132"/>
      <c r="W344" s="133"/>
      <c r="X344" s="133"/>
      <c r="Y344" s="132"/>
    </row>
    <row r="345" spans="1:25" x14ac:dyDescent="0.2">
      <c r="A345" s="13"/>
      <c r="B345" s="129">
        <f t="shared" si="71"/>
        <v>0</v>
      </c>
      <c r="C345" s="129"/>
      <c r="D345" s="129"/>
      <c r="E345" s="129"/>
      <c r="F345" s="129"/>
      <c r="G345" s="253"/>
      <c r="H345" s="254"/>
      <c r="I345" s="253"/>
      <c r="J345" s="131"/>
      <c r="K345" s="9">
        <f t="shared" si="68"/>
        <v>0</v>
      </c>
      <c r="L345" s="52">
        <f t="shared" si="69"/>
        <v>0</v>
      </c>
      <c r="P345" s="132"/>
      <c r="Q345" s="132"/>
      <c r="R345" s="133"/>
      <c r="S345" s="133"/>
      <c r="T345" s="132"/>
      <c r="U345" s="132"/>
      <c r="V345" s="132"/>
      <c r="W345" s="133"/>
      <c r="X345" s="133"/>
      <c r="Y345" s="132"/>
    </row>
    <row r="346" spans="1:25" x14ac:dyDescent="0.2">
      <c r="A346" s="13"/>
      <c r="B346" s="129">
        <f t="shared" si="71"/>
        <v>0</v>
      </c>
      <c r="C346" s="129"/>
      <c r="D346" s="129"/>
      <c r="E346" s="129"/>
      <c r="F346" s="129"/>
      <c r="G346" s="253"/>
      <c r="H346" s="254"/>
      <c r="I346" s="253"/>
      <c r="J346" s="131"/>
      <c r="K346" s="9">
        <f t="shared" si="68"/>
        <v>0</v>
      </c>
      <c r="L346" s="52">
        <f t="shared" si="69"/>
        <v>0</v>
      </c>
      <c r="P346" s="132"/>
      <c r="Q346" s="132"/>
      <c r="R346" s="133"/>
      <c r="S346" s="133"/>
      <c r="T346" s="132"/>
      <c r="U346" s="132"/>
      <c r="V346" s="132"/>
      <c r="W346" s="133"/>
      <c r="X346" s="133"/>
      <c r="Y346" s="132"/>
    </row>
    <row r="347" spans="1:25" x14ac:dyDescent="0.2">
      <c r="A347" s="13"/>
      <c r="B347" s="129">
        <f t="shared" si="71"/>
        <v>0</v>
      </c>
      <c r="C347" s="129"/>
      <c r="D347" s="129"/>
      <c r="E347" s="129"/>
      <c r="F347" s="129"/>
      <c r="G347" s="253"/>
      <c r="H347" s="254"/>
      <c r="I347" s="253"/>
      <c r="J347" s="131"/>
      <c r="K347" s="9">
        <f t="shared" si="68"/>
        <v>0</v>
      </c>
      <c r="L347" s="52">
        <f t="shared" si="69"/>
        <v>0</v>
      </c>
      <c r="P347" s="134"/>
      <c r="Q347" s="134"/>
      <c r="R347" s="133"/>
      <c r="S347" s="133"/>
      <c r="T347" s="135"/>
      <c r="U347" s="132"/>
      <c r="V347" s="132"/>
      <c r="W347" s="133"/>
      <c r="X347" s="133"/>
      <c r="Y347" s="132"/>
    </row>
    <row r="348" spans="1:25" x14ac:dyDescent="0.2">
      <c r="A348" s="13"/>
      <c r="B348" s="129">
        <f t="shared" si="71"/>
        <v>0</v>
      </c>
      <c r="C348" s="129"/>
      <c r="D348" s="129"/>
      <c r="E348" s="129"/>
      <c r="F348" s="129"/>
      <c r="G348" s="253"/>
      <c r="H348" s="254"/>
      <c r="I348" s="253"/>
      <c r="J348" s="131"/>
      <c r="K348" s="9">
        <f t="shared" si="68"/>
        <v>0</v>
      </c>
      <c r="L348" s="52">
        <f t="shared" si="69"/>
        <v>0</v>
      </c>
      <c r="P348" s="132"/>
      <c r="Q348" s="132"/>
      <c r="R348" s="133"/>
      <c r="S348" s="133"/>
      <c r="T348" s="133"/>
      <c r="U348" s="132"/>
      <c r="V348" s="132"/>
      <c r="W348" s="133"/>
      <c r="X348" s="133"/>
      <c r="Y348" s="132"/>
    </row>
    <row r="349" spans="1:25" x14ac:dyDescent="0.2">
      <c r="A349" s="13"/>
      <c r="B349" s="129">
        <f t="shared" si="71"/>
        <v>0</v>
      </c>
      <c r="C349" s="129"/>
      <c r="D349" s="129"/>
      <c r="E349" s="129"/>
      <c r="F349" s="129"/>
      <c r="G349" s="253"/>
      <c r="H349" s="254"/>
      <c r="I349" s="253"/>
      <c r="J349" s="131"/>
      <c r="K349" s="9">
        <f t="shared" si="68"/>
        <v>0</v>
      </c>
      <c r="L349" s="52">
        <f t="shared" si="69"/>
        <v>0</v>
      </c>
      <c r="O349" s="119"/>
      <c r="P349" s="132"/>
      <c r="Q349" s="132"/>
      <c r="R349" s="133"/>
      <c r="S349" s="133"/>
      <c r="T349" s="133"/>
      <c r="U349" s="132"/>
      <c r="V349" s="132"/>
      <c r="W349" s="133"/>
      <c r="X349" s="133"/>
      <c r="Y349" s="132"/>
    </row>
    <row r="350" spans="1:25" x14ac:dyDescent="0.2">
      <c r="A350" s="13"/>
      <c r="B350" s="129">
        <f t="shared" si="71"/>
        <v>0</v>
      </c>
      <c r="C350" s="129"/>
      <c r="D350" s="129"/>
      <c r="E350" s="129"/>
      <c r="F350" s="129"/>
      <c r="G350" s="253"/>
      <c r="H350" s="254"/>
      <c r="I350" s="253"/>
      <c r="J350" s="131"/>
      <c r="K350" s="9">
        <f t="shared" si="68"/>
        <v>0</v>
      </c>
      <c r="L350" s="52">
        <f t="shared" si="69"/>
        <v>0</v>
      </c>
      <c r="P350" s="132"/>
      <c r="Q350" s="132"/>
      <c r="R350" s="133"/>
      <c r="S350" s="133"/>
      <c r="T350" s="133"/>
      <c r="U350" s="132"/>
      <c r="V350" s="132"/>
      <c r="W350" s="133"/>
      <c r="X350" s="133"/>
      <c r="Y350" s="132"/>
    </row>
    <row r="351" spans="1:25" x14ac:dyDescent="0.2">
      <c r="A351" s="13"/>
      <c r="B351" s="129">
        <f t="shared" si="71"/>
        <v>0</v>
      </c>
      <c r="C351" s="129"/>
      <c r="D351" s="129"/>
      <c r="E351" s="129"/>
      <c r="F351" s="129"/>
      <c r="G351" s="253"/>
      <c r="H351" s="254"/>
      <c r="I351" s="253"/>
      <c r="J351" s="131"/>
      <c r="K351" s="9">
        <f t="shared" si="68"/>
        <v>0</v>
      </c>
      <c r="L351" s="52">
        <f t="shared" si="69"/>
        <v>0</v>
      </c>
      <c r="P351" s="132"/>
      <c r="Q351" s="132"/>
      <c r="R351" s="133"/>
      <c r="S351" s="133"/>
      <c r="T351" s="133"/>
      <c r="U351" s="132"/>
      <c r="V351" s="132"/>
      <c r="W351" s="133"/>
      <c r="X351" s="133"/>
      <c r="Y351" s="132"/>
    </row>
    <row r="352" spans="1:25" x14ac:dyDescent="0.2">
      <c r="A352" s="13"/>
      <c r="B352" s="129">
        <f t="shared" si="71"/>
        <v>0</v>
      </c>
      <c r="C352" s="129"/>
      <c r="D352" s="129"/>
      <c r="E352" s="129"/>
      <c r="F352" s="129"/>
      <c r="G352" s="253"/>
      <c r="H352" s="254"/>
      <c r="I352" s="253"/>
      <c r="J352" s="131"/>
      <c r="K352" s="9">
        <f t="shared" si="68"/>
        <v>0</v>
      </c>
      <c r="L352" s="52">
        <f t="shared" si="69"/>
        <v>0</v>
      </c>
      <c r="P352" s="132"/>
      <c r="Q352" s="132"/>
      <c r="R352" s="133"/>
      <c r="S352" s="133"/>
      <c r="T352" s="133"/>
      <c r="U352" s="132"/>
      <c r="V352" s="132"/>
      <c r="W352" s="133"/>
      <c r="X352" s="133"/>
      <c r="Y352" s="132"/>
    </row>
    <row r="353" spans="1:25" x14ac:dyDescent="0.2">
      <c r="A353" s="13"/>
      <c r="B353" s="129">
        <f t="shared" si="71"/>
        <v>0</v>
      </c>
      <c r="C353" s="129"/>
      <c r="D353" s="129"/>
      <c r="E353" s="129"/>
      <c r="F353" s="129"/>
      <c r="G353" s="253"/>
      <c r="H353" s="254"/>
      <c r="I353" s="253"/>
      <c r="J353" s="131"/>
      <c r="K353" s="9">
        <f t="shared" si="68"/>
        <v>0</v>
      </c>
      <c r="L353" s="52">
        <f t="shared" si="69"/>
        <v>0</v>
      </c>
      <c r="P353" s="132"/>
      <c r="Q353" s="132"/>
      <c r="R353" s="133"/>
      <c r="S353" s="133"/>
      <c r="T353" s="133"/>
      <c r="U353" s="132"/>
      <c r="V353" s="132"/>
      <c r="W353" s="133"/>
      <c r="X353" s="133"/>
      <c r="Y353" s="132"/>
    </row>
    <row r="354" spans="1:25" x14ac:dyDescent="0.2">
      <c r="A354" s="13"/>
      <c r="B354" s="129">
        <f t="shared" si="71"/>
        <v>0</v>
      </c>
      <c r="C354" s="129"/>
      <c r="D354" s="129"/>
      <c r="E354" s="129"/>
      <c r="F354" s="129"/>
      <c r="G354" s="253"/>
      <c r="H354" s="254"/>
      <c r="I354" s="253"/>
      <c r="J354" s="131"/>
      <c r="K354" s="9">
        <f t="shared" si="68"/>
        <v>0</v>
      </c>
      <c r="L354" s="52">
        <f t="shared" si="69"/>
        <v>0</v>
      </c>
      <c r="P354" s="132"/>
      <c r="Q354" s="132"/>
      <c r="R354" s="133"/>
      <c r="S354" s="133"/>
      <c r="T354" s="133"/>
      <c r="U354" s="132"/>
      <c r="V354" s="132"/>
      <c r="W354" s="133"/>
      <c r="X354" s="133"/>
      <c r="Y354" s="132"/>
    </row>
    <row r="355" spans="1:25" x14ac:dyDescent="0.2">
      <c r="A355" s="13"/>
      <c r="B355" s="129">
        <f t="shared" si="71"/>
        <v>0</v>
      </c>
      <c r="C355" s="129"/>
      <c r="D355" s="129"/>
      <c r="E355" s="129"/>
      <c r="F355" s="129"/>
      <c r="G355" s="253"/>
      <c r="H355" s="254"/>
      <c r="I355" s="253"/>
      <c r="J355" s="131"/>
      <c r="K355" s="9">
        <f t="shared" si="68"/>
        <v>0</v>
      </c>
      <c r="L355" s="52">
        <f t="shared" si="69"/>
        <v>0</v>
      </c>
      <c r="T355" s="12"/>
    </row>
    <row r="356" spans="1:25" x14ac:dyDescent="0.2">
      <c r="A356" s="13"/>
      <c r="B356" s="129">
        <f t="shared" si="71"/>
        <v>0</v>
      </c>
      <c r="C356" s="129"/>
      <c r="D356" s="129"/>
      <c r="E356" s="129"/>
      <c r="F356" s="129"/>
      <c r="G356" s="253"/>
      <c r="H356" s="254"/>
      <c r="I356" s="253"/>
      <c r="J356" s="131"/>
      <c r="K356" s="9">
        <f t="shared" si="68"/>
        <v>0</v>
      </c>
      <c r="L356" s="52">
        <f t="shared" si="69"/>
        <v>0</v>
      </c>
      <c r="T356" s="12"/>
    </row>
    <row r="357" spans="1:25" x14ac:dyDescent="0.2">
      <c r="A357" s="13"/>
      <c r="B357" s="129">
        <f t="shared" si="71"/>
        <v>0</v>
      </c>
      <c r="C357" s="129"/>
      <c r="D357" s="129"/>
      <c r="E357" s="129"/>
      <c r="F357" s="129"/>
      <c r="G357" s="253"/>
      <c r="H357" s="254"/>
      <c r="I357" s="253"/>
      <c r="J357" s="131"/>
      <c r="K357" s="9">
        <f t="shared" si="68"/>
        <v>0</v>
      </c>
      <c r="L357" s="52">
        <f t="shared" si="69"/>
        <v>0</v>
      </c>
      <c r="T357" s="12"/>
    </row>
    <row r="358" spans="1:25" x14ac:dyDescent="0.2">
      <c r="A358" s="13"/>
      <c r="B358" s="129">
        <f t="shared" si="71"/>
        <v>0</v>
      </c>
      <c r="C358" s="129"/>
      <c r="D358" s="129"/>
      <c r="E358" s="129"/>
      <c r="F358" s="129"/>
      <c r="G358" s="253"/>
      <c r="H358" s="254"/>
      <c r="I358" s="253"/>
      <c r="J358" s="131"/>
      <c r="K358" s="9">
        <f t="shared" si="68"/>
        <v>0</v>
      </c>
      <c r="L358" s="52">
        <f t="shared" si="69"/>
        <v>0</v>
      </c>
      <c r="T358" s="12"/>
    </row>
    <row r="359" spans="1:25" x14ac:dyDescent="0.2">
      <c r="A359" s="13"/>
      <c r="B359" s="129">
        <f t="shared" si="71"/>
        <v>0</v>
      </c>
      <c r="C359" s="129"/>
      <c r="D359" s="129"/>
      <c r="E359" s="129"/>
      <c r="F359" s="129"/>
      <c r="G359" s="255"/>
      <c r="H359" s="256"/>
      <c r="I359" s="255"/>
      <c r="J359" s="131"/>
      <c r="K359" s="9">
        <f t="shared" si="68"/>
        <v>0</v>
      </c>
      <c r="L359" s="52">
        <f t="shared" si="69"/>
        <v>0</v>
      </c>
      <c r="T359" s="12"/>
    </row>
    <row r="360" spans="1:25" x14ac:dyDescent="0.2">
      <c r="A360" s="13"/>
      <c r="B360" s="129">
        <f t="shared" si="71"/>
        <v>0</v>
      </c>
      <c r="C360" s="129"/>
      <c r="D360" s="129"/>
      <c r="E360" s="129"/>
      <c r="F360" s="129"/>
      <c r="G360" s="255"/>
      <c r="H360" s="256"/>
      <c r="I360" s="255"/>
      <c r="J360" s="131"/>
      <c r="K360" s="9">
        <f t="shared" si="68"/>
        <v>0</v>
      </c>
      <c r="L360" s="52">
        <f t="shared" si="69"/>
        <v>0</v>
      </c>
      <c r="T360" s="12"/>
    </row>
    <row r="361" spans="1:25" x14ac:dyDescent="0.2">
      <c r="A361" s="13"/>
      <c r="B361" s="129">
        <f t="shared" si="71"/>
        <v>0</v>
      </c>
      <c r="C361" s="129"/>
      <c r="D361" s="129"/>
      <c r="E361" s="129"/>
      <c r="F361" s="129"/>
      <c r="G361" s="255"/>
      <c r="H361" s="256"/>
      <c r="I361" s="255"/>
      <c r="J361" s="131"/>
      <c r="K361" s="9">
        <f t="shared" si="68"/>
        <v>0</v>
      </c>
      <c r="L361" s="52">
        <f t="shared" si="69"/>
        <v>0</v>
      </c>
      <c r="T361" s="12"/>
    </row>
    <row r="362" spans="1:25" x14ac:dyDescent="0.2">
      <c r="A362" s="13"/>
      <c r="B362" s="129">
        <f t="shared" si="71"/>
        <v>0</v>
      </c>
      <c r="C362" s="129"/>
      <c r="D362" s="129"/>
      <c r="E362" s="129"/>
      <c r="F362" s="129"/>
      <c r="G362" s="255"/>
      <c r="H362" s="256"/>
      <c r="I362" s="255"/>
      <c r="J362" s="131"/>
      <c r="K362" s="9">
        <f t="shared" si="68"/>
        <v>0</v>
      </c>
      <c r="L362" s="52">
        <f t="shared" si="69"/>
        <v>0</v>
      </c>
      <c r="T362" s="12"/>
    </row>
    <row r="363" spans="1:25" x14ac:dyDescent="0.2">
      <c r="A363" s="13"/>
      <c r="B363" s="129">
        <f t="shared" si="71"/>
        <v>0</v>
      </c>
      <c r="C363" s="129"/>
      <c r="D363" s="129"/>
      <c r="E363" s="129"/>
      <c r="F363" s="129"/>
      <c r="G363" s="255"/>
      <c r="H363" s="256"/>
      <c r="I363" s="255"/>
      <c r="J363" s="131"/>
      <c r="K363" s="9">
        <f t="shared" si="68"/>
        <v>0</v>
      </c>
      <c r="L363" s="52">
        <f t="shared" si="69"/>
        <v>0</v>
      </c>
      <c r="T363" s="12"/>
    </row>
    <row r="364" spans="1:25" x14ac:dyDescent="0.2">
      <c r="A364" s="13"/>
      <c r="B364" s="129">
        <f t="shared" si="71"/>
        <v>0</v>
      </c>
      <c r="C364" s="129"/>
      <c r="D364" s="129"/>
      <c r="E364" s="129"/>
      <c r="F364" s="129"/>
      <c r="G364" s="255"/>
      <c r="H364" s="256"/>
      <c r="I364" s="255"/>
      <c r="J364" s="131"/>
      <c r="K364" s="9">
        <f t="shared" si="68"/>
        <v>0</v>
      </c>
      <c r="L364" s="52">
        <f t="shared" si="69"/>
        <v>0</v>
      </c>
      <c r="T364" s="12"/>
    </row>
    <row r="365" spans="1:25" x14ac:dyDescent="0.2">
      <c r="A365" s="13"/>
      <c r="B365" s="129">
        <f t="shared" si="71"/>
        <v>0</v>
      </c>
      <c r="C365" s="129"/>
      <c r="D365" s="129"/>
      <c r="E365" s="129"/>
      <c r="F365" s="129"/>
      <c r="G365" s="255"/>
      <c r="H365" s="256"/>
      <c r="I365" s="255"/>
      <c r="J365" s="131"/>
      <c r="K365" s="9">
        <f t="shared" si="68"/>
        <v>0</v>
      </c>
      <c r="L365" s="52">
        <f t="shared" si="69"/>
        <v>0</v>
      </c>
      <c r="T365" s="12"/>
    </row>
    <row r="366" spans="1:25" x14ac:dyDescent="0.2">
      <c r="A366" s="13"/>
      <c r="B366" s="129">
        <f t="shared" si="71"/>
        <v>0</v>
      </c>
      <c r="C366" s="129"/>
      <c r="D366" s="129"/>
      <c r="E366" s="129"/>
      <c r="F366" s="129"/>
      <c r="G366" s="255"/>
      <c r="H366" s="256"/>
      <c r="I366" s="255"/>
      <c r="J366" s="131"/>
      <c r="K366" s="9">
        <f t="shared" si="68"/>
        <v>0</v>
      </c>
      <c r="L366" s="52">
        <f t="shared" si="69"/>
        <v>0</v>
      </c>
      <c r="T366" s="12"/>
    </row>
    <row r="367" spans="1:25" x14ac:dyDescent="0.2">
      <c r="A367" s="13"/>
      <c r="B367" s="129">
        <f t="shared" si="71"/>
        <v>0</v>
      </c>
      <c r="C367" s="129"/>
      <c r="D367" s="129"/>
      <c r="E367" s="129"/>
      <c r="F367" s="129"/>
      <c r="G367" s="255"/>
      <c r="H367" s="256"/>
      <c r="I367" s="255"/>
      <c r="J367" s="131"/>
      <c r="K367" s="9">
        <f t="shared" si="68"/>
        <v>0</v>
      </c>
      <c r="L367" s="52">
        <f t="shared" si="69"/>
        <v>0</v>
      </c>
      <c r="T367" s="12"/>
    </row>
    <row r="368" spans="1:25" x14ac:dyDescent="0.2">
      <c r="A368" s="13"/>
      <c r="B368" s="129">
        <f t="shared" si="71"/>
        <v>0</v>
      </c>
      <c r="C368" s="129"/>
      <c r="D368" s="129"/>
      <c r="E368" s="129"/>
      <c r="F368" s="129"/>
      <c r="G368" s="255"/>
      <c r="H368" s="256"/>
      <c r="I368" s="255"/>
      <c r="J368" s="131"/>
      <c r="K368" s="9">
        <f t="shared" si="68"/>
        <v>0</v>
      </c>
      <c r="L368" s="52">
        <f t="shared" si="69"/>
        <v>0</v>
      </c>
      <c r="T368" s="12"/>
    </row>
    <row r="369" spans="1:20" x14ac:dyDescent="0.2">
      <c r="A369" s="13"/>
      <c r="B369" s="129">
        <f t="shared" si="71"/>
        <v>0</v>
      </c>
      <c r="C369" s="129"/>
      <c r="D369" s="129"/>
      <c r="E369" s="129"/>
      <c r="F369" s="129"/>
      <c r="G369" s="255"/>
      <c r="H369" s="256"/>
      <c r="I369" s="255"/>
      <c r="J369" s="131"/>
      <c r="K369" s="9">
        <f t="shared" si="68"/>
        <v>0</v>
      </c>
      <c r="L369" s="52">
        <f t="shared" si="69"/>
        <v>0</v>
      </c>
      <c r="T369" s="12"/>
    </row>
    <row r="370" spans="1:20" x14ac:dyDescent="0.2">
      <c r="A370" s="13"/>
      <c r="B370" s="129">
        <f t="shared" si="71"/>
        <v>0</v>
      </c>
      <c r="C370" s="129"/>
      <c r="D370" s="129"/>
      <c r="E370" s="129"/>
      <c r="F370" s="129"/>
      <c r="G370" s="255"/>
      <c r="H370" s="256"/>
      <c r="I370" s="255"/>
      <c r="J370" s="131"/>
      <c r="K370" s="9">
        <f t="shared" si="68"/>
        <v>0</v>
      </c>
      <c r="L370" s="52">
        <f t="shared" si="69"/>
        <v>0</v>
      </c>
      <c r="T370" s="12"/>
    </row>
    <row r="371" spans="1:20" x14ac:dyDescent="0.2">
      <c r="A371" s="13"/>
      <c r="B371" s="129">
        <f t="shared" si="71"/>
        <v>0</v>
      </c>
      <c r="C371" s="129"/>
      <c r="D371" s="129"/>
      <c r="E371" s="129"/>
      <c r="F371" s="129"/>
      <c r="G371" s="255"/>
      <c r="H371" s="256"/>
      <c r="I371" s="255"/>
      <c r="J371" s="131"/>
      <c r="K371" s="9">
        <f t="shared" si="68"/>
        <v>0</v>
      </c>
      <c r="L371" s="52">
        <f t="shared" si="69"/>
        <v>0</v>
      </c>
      <c r="T371" s="12"/>
    </row>
    <row r="372" spans="1:20" x14ac:dyDescent="0.2">
      <c r="A372" s="13"/>
      <c r="B372" s="129">
        <f t="shared" si="71"/>
        <v>0</v>
      </c>
      <c r="C372" s="129"/>
      <c r="D372" s="129"/>
      <c r="E372" s="129"/>
      <c r="F372" s="129"/>
      <c r="G372" s="255"/>
      <c r="H372" s="256"/>
      <c r="I372" s="255"/>
      <c r="J372" s="131"/>
      <c r="K372" s="9">
        <f t="shared" si="68"/>
        <v>0</v>
      </c>
      <c r="L372" s="52">
        <f t="shared" si="69"/>
        <v>0</v>
      </c>
    </row>
    <row r="373" spans="1:20" x14ac:dyDescent="0.2">
      <c r="A373" s="13"/>
      <c r="B373" s="129">
        <f t="shared" si="71"/>
        <v>0</v>
      </c>
      <c r="C373" s="129"/>
      <c r="D373" s="129"/>
      <c r="E373" s="129"/>
      <c r="F373" s="129"/>
      <c r="G373" s="255"/>
      <c r="H373" s="256"/>
      <c r="I373" s="255"/>
      <c r="J373" s="131"/>
      <c r="K373" s="9">
        <f t="shared" si="68"/>
        <v>0</v>
      </c>
      <c r="L373" s="52">
        <f t="shared" si="69"/>
        <v>0</v>
      </c>
    </row>
    <row r="374" spans="1:20" x14ac:dyDescent="0.2">
      <c r="A374" s="13"/>
      <c r="B374" s="129">
        <f t="shared" si="71"/>
        <v>0</v>
      </c>
      <c r="C374" s="129"/>
      <c r="D374" s="129"/>
      <c r="E374" s="129"/>
      <c r="F374" s="129"/>
      <c r="G374" s="255"/>
      <c r="H374" s="256"/>
      <c r="I374" s="255"/>
      <c r="J374" s="131"/>
      <c r="K374" s="9">
        <f t="shared" si="68"/>
        <v>0</v>
      </c>
      <c r="L374" s="52">
        <f t="shared" si="69"/>
        <v>0</v>
      </c>
    </row>
    <row r="375" spans="1:20" x14ac:dyDescent="0.2">
      <c r="A375" s="13"/>
      <c r="B375" s="129">
        <f t="shared" si="71"/>
        <v>0</v>
      </c>
      <c r="C375" s="129"/>
      <c r="D375" s="129"/>
      <c r="E375" s="129"/>
      <c r="F375" s="129"/>
      <c r="G375" s="255"/>
      <c r="H375" s="256"/>
      <c r="I375" s="255"/>
      <c r="J375" s="131"/>
      <c r="K375" s="9">
        <f t="shared" si="68"/>
        <v>0</v>
      </c>
      <c r="L375" s="52">
        <f t="shared" si="69"/>
        <v>0</v>
      </c>
    </row>
    <row r="376" spans="1:20" x14ac:dyDescent="0.2">
      <c r="A376" s="13"/>
      <c r="B376" s="129">
        <f t="shared" si="71"/>
        <v>0</v>
      </c>
      <c r="C376" s="129"/>
      <c r="D376" s="129"/>
      <c r="E376" s="129"/>
      <c r="F376" s="129"/>
      <c r="G376" s="255"/>
      <c r="H376" s="256"/>
      <c r="I376" s="255"/>
      <c r="J376" s="131"/>
      <c r="K376" s="9">
        <f t="shared" si="68"/>
        <v>0</v>
      </c>
      <c r="L376" s="52">
        <f t="shared" si="69"/>
        <v>0</v>
      </c>
    </row>
    <row r="377" spans="1:20" x14ac:dyDescent="0.2">
      <c r="A377" s="13"/>
      <c r="B377" s="129">
        <f t="shared" si="71"/>
        <v>0</v>
      </c>
      <c r="C377" s="129"/>
      <c r="D377" s="129"/>
      <c r="E377" s="129"/>
      <c r="F377" s="129"/>
      <c r="G377" s="255"/>
      <c r="H377" s="256"/>
      <c r="I377" s="255"/>
      <c r="J377" s="131"/>
      <c r="K377" s="9">
        <f t="shared" si="68"/>
        <v>0</v>
      </c>
      <c r="L377" s="52">
        <f t="shared" si="69"/>
        <v>0</v>
      </c>
    </row>
    <row r="378" spans="1:20" x14ac:dyDescent="0.2">
      <c r="A378" s="13"/>
      <c r="B378" s="129">
        <f t="shared" si="71"/>
        <v>0</v>
      </c>
      <c r="C378" s="129"/>
      <c r="D378" s="129"/>
      <c r="E378" s="129"/>
      <c r="F378" s="129"/>
      <c r="G378" s="255"/>
      <c r="H378" s="256"/>
      <c r="I378" s="255"/>
      <c r="J378" s="131"/>
      <c r="K378" s="9">
        <f t="shared" si="68"/>
        <v>0</v>
      </c>
      <c r="L378" s="52">
        <f t="shared" si="69"/>
        <v>0</v>
      </c>
    </row>
    <row r="379" spans="1:20" x14ac:dyDescent="0.2">
      <c r="A379" s="13"/>
      <c r="B379" s="129">
        <f t="shared" si="71"/>
        <v>0</v>
      </c>
      <c r="C379" s="129"/>
      <c r="D379" s="129"/>
      <c r="E379" s="129"/>
      <c r="F379" s="129"/>
      <c r="G379" s="255"/>
      <c r="H379" s="256"/>
      <c r="I379" s="255"/>
      <c r="J379" s="131"/>
      <c r="K379" s="9">
        <f t="shared" si="68"/>
        <v>0</v>
      </c>
      <c r="L379" s="52">
        <f t="shared" si="69"/>
        <v>0</v>
      </c>
    </row>
    <row r="380" spans="1:20" x14ac:dyDescent="0.2">
      <c r="A380" s="13"/>
      <c r="B380" s="129">
        <f t="shared" si="71"/>
        <v>0</v>
      </c>
      <c r="C380" s="129"/>
      <c r="D380" s="129"/>
      <c r="E380" s="129"/>
      <c r="F380" s="129"/>
      <c r="G380" s="255"/>
      <c r="H380" s="256"/>
      <c r="I380" s="255"/>
      <c r="J380" s="131"/>
      <c r="K380" s="9">
        <f t="shared" si="68"/>
        <v>0</v>
      </c>
      <c r="L380" s="52">
        <f t="shared" si="69"/>
        <v>0</v>
      </c>
    </row>
    <row r="381" spans="1:20" x14ac:dyDescent="0.2">
      <c r="A381" s="13"/>
      <c r="B381" s="129">
        <f t="shared" si="71"/>
        <v>0</v>
      </c>
      <c r="C381" s="129"/>
      <c r="D381" s="129"/>
      <c r="E381" s="129"/>
      <c r="F381" s="129"/>
      <c r="G381" s="255"/>
      <c r="H381" s="256"/>
      <c r="I381" s="255"/>
      <c r="J381" s="131"/>
      <c r="K381" s="9">
        <f t="shared" si="68"/>
        <v>0</v>
      </c>
      <c r="L381" s="52">
        <f t="shared" si="69"/>
        <v>0</v>
      </c>
    </row>
    <row r="382" spans="1:20" x14ac:dyDescent="0.2">
      <c r="A382" s="13"/>
      <c r="B382" s="129">
        <f t="shared" si="71"/>
        <v>0</v>
      </c>
      <c r="C382" s="129"/>
      <c r="D382" s="129"/>
      <c r="E382" s="129"/>
      <c r="F382" s="129"/>
      <c r="G382" s="255"/>
      <c r="H382" s="256"/>
      <c r="I382" s="255"/>
      <c r="J382" s="131"/>
      <c r="K382" s="9">
        <f t="shared" si="68"/>
        <v>0</v>
      </c>
      <c r="L382" s="52">
        <f t="shared" si="69"/>
        <v>0</v>
      </c>
      <c r="P382" s="106"/>
    </row>
    <row r="383" spans="1:20" x14ac:dyDescent="0.2">
      <c r="A383" s="13"/>
      <c r="B383" s="129">
        <f t="shared" si="71"/>
        <v>0</v>
      </c>
      <c r="C383" s="129"/>
      <c r="D383" s="129"/>
      <c r="E383" s="129"/>
      <c r="F383" s="129"/>
      <c r="G383" s="255"/>
      <c r="H383" s="256"/>
      <c r="I383" s="255"/>
      <c r="J383" s="131"/>
      <c r="K383" s="9">
        <f t="shared" si="68"/>
        <v>0</v>
      </c>
      <c r="L383" s="52">
        <f t="shared" si="69"/>
        <v>0</v>
      </c>
      <c r="P383" s="106"/>
    </row>
    <row r="384" spans="1:20" x14ac:dyDescent="0.2">
      <c r="A384" s="13"/>
      <c r="B384" s="129">
        <f t="shared" si="71"/>
        <v>0</v>
      </c>
      <c r="C384" s="129"/>
      <c r="D384" s="129"/>
      <c r="E384" s="129"/>
      <c r="F384" s="129"/>
      <c r="G384" s="255"/>
      <c r="H384" s="256"/>
      <c r="I384" s="255"/>
      <c r="J384" s="131"/>
      <c r="K384" s="9">
        <f t="shared" si="68"/>
        <v>0</v>
      </c>
      <c r="L384" s="52">
        <f t="shared" si="69"/>
        <v>0</v>
      </c>
      <c r="P384" s="106"/>
    </row>
    <row r="385" spans="1:10" x14ac:dyDescent="0.2">
      <c r="A385" s="13"/>
      <c r="B385" s="130"/>
      <c r="C385" s="130"/>
      <c r="D385" s="130"/>
      <c r="E385" s="130"/>
      <c r="F385" s="130"/>
      <c r="G385" s="255"/>
      <c r="H385" s="256"/>
      <c r="I385" s="255"/>
      <c r="J385" s="131"/>
    </row>
    <row r="386" spans="1:10" x14ac:dyDescent="0.2">
      <c r="A386" s="13"/>
      <c r="B386" s="130"/>
      <c r="C386" s="130"/>
      <c r="D386" s="130"/>
      <c r="E386" s="130"/>
      <c r="F386" s="130"/>
      <c r="G386" s="255"/>
      <c r="H386" s="256"/>
      <c r="I386" s="255"/>
      <c r="J386" s="131"/>
    </row>
    <row r="387" spans="1:10" x14ac:dyDescent="0.2">
      <c r="A387" s="13"/>
      <c r="B387" s="130"/>
      <c r="C387" s="130"/>
      <c r="D387" s="130"/>
      <c r="E387" s="130"/>
      <c r="F387" s="130"/>
      <c r="G387" s="255"/>
      <c r="H387" s="256"/>
      <c r="I387" s="255"/>
      <c r="J387" s="131"/>
    </row>
    <row r="388" spans="1:10" x14ac:dyDescent="0.2">
      <c r="A388" s="13"/>
      <c r="B388" s="130"/>
      <c r="C388" s="130"/>
      <c r="D388" s="130"/>
      <c r="E388" s="130"/>
      <c r="F388" s="130"/>
      <c r="G388" s="255"/>
      <c r="H388" s="256"/>
      <c r="I388" s="255"/>
      <c r="J388" s="131"/>
    </row>
  </sheetData>
  <mergeCells count="202">
    <mergeCell ref="AH9:AH10"/>
    <mergeCell ref="AH11:AH12"/>
    <mergeCell ref="AH13:AH14"/>
    <mergeCell ref="AH15:AH16"/>
    <mergeCell ref="AC47:AC48"/>
    <mergeCell ref="X25:X26"/>
    <mergeCell ref="AH25:AH26"/>
    <mergeCell ref="X37:X38"/>
    <mergeCell ref="X45:X46"/>
    <mergeCell ref="X19:X20"/>
    <mergeCell ref="X21:X22"/>
    <mergeCell ref="X23:X24"/>
    <mergeCell ref="AC23:AC24"/>
    <mergeCell ref="AC25:AC26"/>
    <mergeCell ref="X35:X36"/>
    <mergeCell ref="X47:X48"/>
    <mergeCell ref="X31:X32"/>
    <mergeCell ref="AC45:AC46"/>
    <mergeCell ref="AH45:AH46"/>
    <mergeCell ref="AH47:AH48"/>
    <mergeCell ref="X41:X42"/>
    <mergeCell ref="X43:X44"/>
    <mergeCell ref="AC35:AC36"/>
    <mergeCell ref="AC37:AC38"/>
    <mergeCell ref="N59:N60"/>
    <mergeCell ref="X59:X60"/>
    <mergeCell ref="S59:S60"/>
    <mergeCell ref="N49:N50"/>
    <mergeCell ref="AH33:AH34"/>
    <mergeCell ref="AH35:AH36"/>
    <mergeCell ref="X33:X34"/>
    <mergeCell ref="N29:N30"/>
    <mergeCell ref="N31:N32"/>
    <mergeCell ref="N51:N52"/>
    <mergeCell ref="N53:N54"/>
    <mergeCell ref="N55:N56"/>
    <mergeCell ref="N57:N58"/>
    <mergeCell ref="N45:N46"/>
    <mergeCell ref="S57:S58"/>
    <mergeCell ref="S47:S48"/>
    <mergeCell ref="X29:X30"/>
    <mergeCell ref="AC39:AC40"/>
    <mergeCell ref="AC41:AC42"/>
    <mergeCell ref="AC59:AC60"/>
    <mergeCell ref="AH53:AH54"/>
    <mergeCell ref="AH55:AH56"/>
    <mergeCell ref="AH37:AH38"/>
    <mergeCell ref="X39:X40"/>
    <mergeCell ref="M319:O319"/>
    <mergeCell ref="M320:O320"/>
    <mergeCell ref="M321:O321"/>
    <mergeCell ref="AH63:AH64"/>
    <mergeCell ref="X61:X62"/>
    <mergeCell ref="X63:X64"/>
    <mergeCell ref="X65:X66"/>
    <mergeCell ref="X67:X68"/>
    <mergeCell ref="AH65:AH66"/>
    <mergeCell ref="AH67:AH68"/>
    <mergeCell ref="AH61:AH62"/>
    <mergeCell ref="S61:S62"/>
    <mergeCell ref="S63:S64"/>
    <mergeCell ref="S65:S66"/>
    <mergeCell ref="S67:S68"/>
    <mergeCell ref="N61:N62"/>
    <mergeCell ref="N63:N64"/>
    <mergeCell ref="N65:N66"/>
    <mergeCell ref="N67:N68"/>
    <mergeCell ref="M316:O316"/>
    <mergeCell ref="M305:O305"/>
    <mergeCell ref="M322:O322"/>
    <mergeCell ref="M323:O323"/>
    <mergeCell ref="AM67:AM68"/>
    <mergeCell ref="AM29:AM30"/>
    <mergeCell ref="AM31:AM32"/>
    <mergeCell ref="AM33:AM34"/>
    <mergeCell ref="AM35:AM36"/>
    <mergeCell ref="AM37:AM38"/>
    <mergeCell ref="AM39:AM40"/>
    <mergeCell ref="AM41:AM42"/>
    <mergeCell ref="AM43:AM44"/>
    <mergeCell ref="AM45:AM46"/>
    <mergeCell ref="AC61:AC62"/>
    <mergeCell ref="AC63:AC64"/>
    <mergeCell ref="AC65:AC66"/>
    <mergeCell ref="AC67:AC68"/>
    <mergeCell ref="AH29:AH30"/>
    <mergeCell ref="AH31:AH32"/>
    <mergeCell ref="M317:O317"/>
    <mergeCell ref="M318:O318"/>
    <mergeCell ref="N41:N42"/>
    <mergeCell ref="N43:N44"/>
    <mergeCell ref="AH51:AH52"/>
    <mergeCell ref="AH41:AH42"/>
    <mergeCell ref="S51:S52"/>
    <mergeCell ref="S39:S40"/>
    <mergeCell ref="S41:S42"/>
    <mergeCell ref="S43:S44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V2:Y2"/>
    <mergeCell ref="S53:S54"/>
    <mergeCell ref="S55:S56"/>
    <mergeCell ref="S33:S34"/>
    <mergeCell ref="S35:S36"/>
    <mergeCell ref="S37:S38"/>
    <mergeCell ref="M3:AX3"/>
    <mergeCell ref="M4:AX4"/>
    <mergeCell ref="M5:AX5"/>
    <mergeCell ref="AH43:AH44"/>
    <mergeCell ref="AC43:AC44"/>
    <mergeCell ref="AC27:AC28"/>
    <mergeCell ref="X9:X10"/>
    <mergeCell ref="X11:X12"/>
    <mergeCell ref="X13:X14"/>
    <mergeCell ref="X15:X16"/>
    <mergeCell ref="X17:X18"/>
    <mergeCell ref="AM9:AM10"/>
    <mergeCell ref="N47:N48"/>
    <mergeCell ref="N37:N38"/>
    <mergeCell ref="N39:N40"/>
    <mergeCell ref="N17:N18"/>
    <mergeCell ref="N19:N20"/>
    <mergeCell ref="S45:S46"/>
    <mergeCell ref="AW64:AX64"/>
    <mergeCell ref="AV62:AW62"/>
    <mergeCell ref="AM51:AM52"/>
    <mergeCell ref="AM53:AM54"/>
    <mergeCell ref="AV71:AW71"/>
    <mergeCell ref="AV72:AW72"/>
    <mergeCell ref="AM55:AM56"/>
    <mergeCell ref="AV63:AW63"/>
    <mergeCell ref="AW61:AX61"/>
    <mergeCell ref="AM65:AM66"/>
    <mergeCell ref="AM63:AM64"/>
    <mergeCell ref="AM57:AM58"/>
    <mergeCell ref="AM59:AM60"/>
    <mergeCell ref="AM61:AM62"/>
    <mergeCell ref="AH57:AH58"/>
    <mergeCell ref="X51:X52"/>
    <mergeCell ref="X53:X54"/>
    <mergeCell ref="X55:X56"/>
    <mergeCell ref="X57:X58"/>
    <mergeCell ref="AC49:AC50"/>
    <mergeCell ref="AC51:AC52"/>
    <mergeCell ref="AC53:AC54"/>
    <mergeCell ref="AC55:AC56"/>
    <mergeCell ref="AC57:AC58"/>
    <mergeCell ref="AH59:AH60"/>
    <mergeCell ref="AH49:AH50"/>
    <mergeCell ref="AH39:AH40"/>
    <mergeCell ref="A3:G4"/>
    <mergeCell ref="K3:L3"/>
    <mergeCell ref="AM47:AM48"/>
    <mergeCell ref="AM49:AM50"/>
    <mergeCell ref="N9:N10"/>
    <mergeCell ref="N11:N12"/>
    <mergeCell ref="N13:N14"/>
    <mergeCell ref="N15:N16"/>
    <mergeCell ref="N33:N34"/>
    <mergeCell ref="N35:N36"/>
    <mergeCell ref="N21:N22"/>
    <mergeCell ref="N23:N24"/>
    <mergeCell ref="S31:S32"/>
    <mergeCell ref="N25:N26"/>
    <mergeCell ref="S27:S28"/>
    <mergeCell ref="S29:S30"/>
    <mergeCell ref="X49:X50"/>
    <mergeCell ref="S49:S50"/>
    <mergeCell ref="AC29:AC30"/>
    <mergeCell ref="AC31:AC32"/>
    <mergeCell ref="AC33:AC34"/>
    <mergeCell ref="N27:N28"/>
    <mergeCell ref="R6:T6"/>
    <mergeCell ref="AC11:AC12"/>
    <mergeCell ref="AC13:AC14"/>
    <mergeCell ref="X27:X28"/>
    <mergeCell ref="AM11:AM12"/>
    <mergeCell ref="AM13:AM14"/>
    <mergeCell ref="AM15:AM16"/>
    <mergeCell ref="AM17:AM18"/>
    <mergeCell ref="AM19:AM20"/>
    <mergeCell ref="AM21:AM22"/>
    <mergeCell ref="AC15:AC16"/>
    <mergeCell ref="AC17:AC18"/>
    <mergeCell ref="AM23:AM24"/>
    <mergeCell ref="AM25:AM26"/>
    <mergeCell ref="AH17:AH18"/>
    <mergeCell ref="AC21:AC22"/>
    <mergeCell ref="AH19:AH20"/>
    <mergeCell ref="AH21:AH22"/>
    <mergeCell ref="AH23:AH24"/>
    <mergeCell ref="AC19:AC20"/>
    <mergeCell ref="AH27:AH28"/>
    <mergeCell ref="AM27:AM28"/>
    <mergeCell ref="AC9:AC10"/>
  </mergeCells>
  <phoneticPr fontId="22" type="noConversion"/>
  <conditionalFormatting sqref="O9:Q68">
    <cfRule type="cellIs" dxfId="7" priority="17" operator="equal">
      <formula>0</formula>
    </cfRule>
  </conditionalFormatting>
  <conditionalFormatting sqref="T9:V68">
    <cfRule type="cellIs" dxfId="6" priority="321" operator="equal">
      <formula>0</formula>
    </cfRule>
  </conditionalFormatting>
  <conditionalFormatting sqref="Y9:AA68">
    <cfRule type="cellIs" dxfId="5" priority="72" operator="equal">
      <formula>0</formula>
    </cfRule>
  </conditionalFormatting>
  <conditionalFormatting sqref="AD9:AF68">
    <cfRule type="cellIs" dxfId="4" priority="170" operator="equal">
      <formula>0</formula>
    </cfRule>
  </conditionalFormatting>
  <conditionalFormatting sqref="AI9:AK38 AI39:AJ40 AI41:AK68">
    <cfRule type="cellIs" dxfId="3" priority="5" operator="equal">
      <formula>0</formula>
    </cfRule>
  </conditionalFormatting>
  <conditionalFormatting sqref="AK38:AK40">
    <cfRule type="cellIs" dxfId="2" priority="1" operator="equal">
      <formula>0</formula>
    </cfRule>
  </conditionalFormatting>
  <conditionalFormatting sqref="AN9:AP68">
    <cfRule type="cellIs" dxfId="1" priority="3" operator="equal">
      <formula>0</formula>
    </cfRule>
  </conditionalFormatting>
  <conditionalFormatting sqref="AR9:AT68">
    <cfRule type="cellIs" dxfId="0" priority="22" operator="equal">
      <formula>0</formula>
    </cfRule>
  </conditionalFormatting>
  <pageMargins left="0.17" right="0.13" top="0.31496062992126" bottom="0.27559055118110198" header="0.31496062992126" footer="0.23622047244094499"/>
  <pageSetup paperSize="9" scale="11" orientation="landscape" r:id="rId1"/>
  <headerFooter>
    <oddFooter>&amp;C&amp;1#&amp;"Calibri"&amp;10&amp;K000000Schlumberger-Private</oddFooter>
  </headerFooter>
  <rowBreaks count="1" manualBreakCount="1">
    <brk id="18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0664E8-40D4-40A6-B99D-2287EA3BBD7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Schlumberger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Darwin Cuesta</dc:creator>
  <cp:keywords/>
  <dc:description/>
  <cp:lastModifiedBy>Jorge Enrique Salazar Montenegro</cp:lastModifiedBy>
  <cp:revision/>
  <dcterms:created xsi:type="dcterms:W3CDTF">2012-04-28T00:35:27Z</dcterms:created>
  <dcterms:modified xsi:type="dcterms:W3CDTF">2025-09-10T03:41:42Z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WSLTuscany105@slb.com</vt:lpwstr>
  </property>
  <property fmtid="{D5CDD505-2E9C-101B-9397-08002B2CF9AE}" pid="5" name="MSIP_Label_585f1f62-8d2b-4457-869c-0a13c6549635_SetDate">
    <vt:lpwstr>2020-12-13T20:15:28.5851806Z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6ce8209e-206b-44d6-b4d2-1021c1f3d943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WSLTuscany105@slb.com</vt:lpwstr>
  </property>
  <property fmtid="{D5CDD505-2E9C-101B-9397-08002B2CF9AE}" pid="13" name="MSIP_Label_8bb759f6-5337-4dc5-b19b-e74b6da11f8f_SetDate">
    <vt:lpwstr>2020-12-13T20:15:28.5851806Z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6ce8209e-206b-44d6-b4d2-1021c1f3d943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